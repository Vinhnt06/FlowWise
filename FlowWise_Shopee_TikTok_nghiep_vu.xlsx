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2DC65BA2-6361-4876-BDBD-0ADE6984CC40}" xr6:coauthVersionLast="36" xr6:coauthVersionMax="36" xr10:uidLastSave="{00000000-0000-0000-0000-000000000000}"/>
  <bookViews>
    <workbookView minimized="1" xWindow="0" yWindow="0" windowWidth="17256" windowHeight="6984" tabRatio="583" xr2:uid="{00000000-000D-0000-FFFF-FFFF00000000}"/>
  </bookViews>
  <sheets>
    <sheet name="Tổng quan" sheetId="1" r:id="rId1"/>
    <sheet name="Quy tắc nghiệp vụ" sheetId="2" r:id="rId2"/>
    <sheet name="Cấu trúc settlement" sheetId="3" r:id="rId3"/>
    <sheet name="Kiểm tra đối soát" sheetId="4" r:id="rId4"/>
    <sheet name="Phỏng vấn seller" sheetId="5" r:id="rId5"/>
    <sheet name="Nguồn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4" l="1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H7" i="4"/>
  <c r="I7" i="4" s="1"/>
  <c r="J7" i="4" s="1"/>
  <c r="H6" i="4"/>
  <c r="I6" i="4" s="1"/>
  <c r="J6" i="4" s="1"/>
  <c r="B37" i="4" s="1"/>
  <c r="B11" i="1" s="1"/>
  <c r="B10" i="1"/>
  <c r="B8" i="1"/>
  <c r="B7" i="1"/>
  <c r="B6" i="1"/>
  <c r="B5" i="1"/>
  <c r="B9" i="1" s="1"/>
</calcChain>
</file>

<file path=xl/sharedStrings.xml><?xml version="1.0" encoding="utf-8"?>
<sst xmlns="http://schemas.openxmlformats.org/spreadsheetml/2006/main" count="321" uniqueCount="236">
  <si>
    <t>Dùng để xác minh quy tắc trước khi chốt dữ liệu demo và logic tính. Ô vàng chữ xanh là ô cần điền.</t>
  </si>
  <si>
    <t>Tiến độ xác minh quy tắc</t>
  </si>
  <si>
    <t>Tổng số quy tắc</t>
  </si>
  <si>
    <t>Đã xác minh</t>
  </si>
  <si>
    <t>Chưa xác minh</t>
  </si>
  <si>
    <t>Mâu thuẫn cần xử lý</t>
  </si>
  <si>
    <t>Tỷ lệ đã xác minh</t>
  </si>
  <si>
    <t>Số seller đã phỏng vấn</t>
  </si>
  <si>
    <t>Dòng settlement bị lệch (kiểm tra đối soát)</t>
  </si>
  <si>
    <t>Cách dùng</t>
  </si>
  <si>
    <t>1. Quy tắc nghiệp vụ: điền giá trị cho Shopee/TikTok kèm nguồn và ngày tra cứu, chọn trạng thái.</t>
  </si>
  <si>
    <t>2. Cấu trúc settlement: khi có file đối soát thật, ghi tên cột gốc ứng với từng cột schema.</t>
  </si>
  <si>
    <t>3. Kiểm tra đối soát: dán các dòng settlement để phát hiện dòng cộng không ra (nguyên nhân thường là cột bị ẩn).</t>
  </si>
  <si>
    <t>4. Phỏng vấn seller: ghi câu trả lời theo từng seller (ẩn danh). Các mã R.. trỏ về sheet Quy tắc để cập nhật.</t>
  </si>
  <si>
    <t>5. Nguồn: ghi link và ngày tra cứu. Giá trị chưa có nguồn thì để trống, không điền theo trí nhớ.</t>
  </si>
  <si>
    <t>Màu: chữ xanh dương = ô nhập; chữ đen = công thức/nội dung cố định; chữ xanh lá = liên kết từ sheet khác; nền vàng = ô cần điền.</t>
  </si>
  <si>
    <t>Quy tắc nghiệp vụ Shopee / TikTok Shop cần xác minh</t>
  </si>
  <si>
    <t>Ô vàng chữ xanh = ô bạn điền. Chỉ điền giá trị đã có nguồn; chưa chắc thì để trống và giữ trạng thái 'Chưa xác minh'.</t>
  </si>
  <si>
    <t>Dòng VD là ví dụ cách ghi (số liệu minh họa, không phải chính sách thật) – xóa khi dùng.</t>
  </si>
  <si>
    <t>Mã</t>
  </si>
  <si>
    <t>Nhóm</t>
  </si>
  <si>
    <t>Câu hỏi cần xác minh</t>
  </si>
  <si>
    <t>Shopee</t>
  </si>
  <si>
    <t>TikTok Shop</t>
  </si>
  <si>
    <t>Nguồn (link chính sách / seller nào)</t>
  </si>
  <si>
    <t>Ngày tra cứu</t>
  </si>
  <si>
    <t>Trạng thái</t>
  </si>
  <si>
    <t>Ảnh hưởng tới (trong FlowWise)</t>
  </si>
  <si>
    <t>Ghi chú</t>
  </si>
  <si>
    <t>VD</t>
  </si>
  <si>
    <t>Payout &amp; thời điểm tiền về</t>
  </si>
  <si>
    <t>Từ mốc đó đến khi tiền về ví sàn mất bao nhiêu ngày (T+?)</t>
  </si>
  <si>
    <t>(ví dụ) T+X ngày sau mốc Y</t>
  </si>
  <si>
    <t>(ví dụ) T+Z ngày</t>
  </si>
  <si>
    <t>Trang chính sách thanh toán của sàn; Seller A</t>
  </si>
  <si>
    <t>2026-10-13</t>
  </si>
  <si>
    <t>VÍ DỤ</t>
  </si>
  <si>
    <t>expected_payout_date</t>
  </si>
  <si>
    <t>Ghi rõ ngày tra cứu vì chính sách có thể đổi</t>
  </si>
  <si>
    <t>R01</t>
  </si>
  <si>
    <t>Chu kỳ đối soát/chi trả là gì (theo đơn, hằng ngày, hằng tuần, khác)?</t>
  </si>
  <si>
    <t>Tần suất của cash event</t>
  </si>
  <si>
    <t>R02</t>
  </si>
  <si>
    <t>Mốc bắt đầu tính ngày trả tiền (giao thành công / người mua xác nhận / hết hạn đổi trả)?</t>
  </si>
  <si>
    <t>Ngày của cash event</t>
  </si>
  <si>
    <t>R03</t>
  </si>
  <si>
    <t>R04</t>
  </si>
  <si>
    <t>Từ ví sàn rút về ngân hàng mất bao lâu, có phí rút không?</t>
  </si>
  <si>
    <t>Độ trễ ví → ngân hàng</t>
  </si>
  <si>
    <t>R05</t>
  </si>
  <si>
    <t>Tiền bị giữ lại (escrow/hold) bao lâu, điều kiện giải phóng?</t>
  </si>
  <si>
    <t>reserve_or_hold + ngày release</t>
  </si>
  <si>
    <t>R06</t>
  </si>
  <si>
    <t>Ngày nghỉ/lễ có làm lệch ngày tiền về không?</t>
  </si>
  <si>
    <t>Tuần rơi của cash event</t>
  </si>
  <si>
    <t>Phí và các khoản trừ</t>
  </si>
  <si>
    <t>R07</t>
  </si>
  <si>
    <t>Phí hoa hồng/phí cố định: mức % theo ngành hàng đã chọn?</t>
  </si>
  <si>
    <t>platform_fee</t>
  </si>
  <si>
    <t>R08</t>
  </si>
  <si>
    <t>Phí giao dịch/thanh toán: mức và cách tính?</t>
  </si>
  <si>
    <t>R09</t>
  </si>
  <si>
    <t>Các phí dịch vụ/chương trình tùy chọn người bán hay đăng ký?</t>
  </si>
  <si>
    <t>R10</t>
  </si>
  <si>
    <t>Voucher/khuyến mãi do người bán chịu: trừ vào đâu, khi nào?</t>
  </si>
  <si>
    <t>platform_fee hoặc cột riêng</t>
  </si>
  <si>
    <t>R11</t>
  </si>
  <si>
    <t>Phí vận chuyển người bán chịu / chênh lệch phí ship?</t>
  </si>
  <si>
    <t>shipping_or_COD_fee</t>
  </si>
  <si>
    <t>R12</t>
  </si>
  <si>
    <t>Phí COD (nếu có): ai chịu, mức bao nhiêu?</t>
  </si>
  <si>
    <t>R13</t>
  </si>
  <si>
    <t>Hoa hồng liên kết/affiliate/creator (nếu có): tính thế nào?</t>
  </si>
  <si>
    <t>Cột phí mới nếu cần</t>
  </si>
  <si>
    <t>Hoàn/huỷ và điều chỉnh</t>
  </si>
  <si>
    <t>R14</t>
  </si>
  <si>
    <t>Đơn hoàn/huỷ: tiền hoàn trừ vào kỳ payout nào, có hoàn lại phí không?</t>
  </si>
  <si>
    <t>refunds</t>
  </si>
  <si>
    <t>R15</t>
  </si>
  <si>
    <t>Tỷ lệ hoàn/huỷ thường gặp ở ngành hàng đã chọn?</t>
  </si>
  <si>
    <t>Giả định hoàn tiền trong forecast</t>
  </si>
  <si>
    <t>R16</t>
  </si>
  <si>
    <t>Khiếu nại/tranh chấp: tiền bị giữ thế nào, bao lâu?</t>
  </si>
  <si>
    <t>reserve_or_hold</t>
  </si>
  <si>
    <t>R17</t>
  </si>
  <si>
    <t>Phạt/điều chỉnh do vi phạm: có khấu trừ vào payout không?</t>
  </si>
  <si>
    <t>Khoản điều chỉnh</t>
  </si>
  <si>
    <t>Dữ liệu xuất ra (cho phần Data input)</t>
  </si>
  <si>
    <t>R18</t>
  </si>
  <si>
    <t>Báo cáo đối soát nào xuất được, tên báo cáo, định dạng (xlsx/csv)?</t>
  </si>
  <si>
    <t>Mẫu file ingestion</t>
  </si>
  <si>
    <t>R19</t>
  </si>
  <si>
    <t>Danh sách cột thực tế trong file đối soát (tên gốc)?</t>
  </si>
  <si>
    <t>Mapping cột → schema</t>
  </si>
  <si>
    <t>R20</t>
  </si>
  <si>
    <t>Xuất được tối đa bao nhiêu ngày/lần?</t>
  </si>
  <si>
    <t>Giới hạn tải dữ liệu</t>
  </si>
  <si>
    <t>R21</t>
  </si>
  <si>
    <t>Có mã tham chiếu để khớp với sao kê ngân hàng không?</t>
  </si>
  <si>
    <t>reference_id / chống tính trùng</t>
  </si>
  <si>
    <t>Nhập hàng và tiền tệ</t>
  </si>
  <si>
    <t>R22</t>
  </si>
  <si>
    <t>Nhập hàng từ đâu là chủ yếu (1688, NCC trong nước, khác)?</t>
  </si>
  <si>
    <t>Có cần CNY hay không</t>
  </si>
  <si>
    <t>R23</t>
  </si>
  <si>
    <t>Trả tiền nhập hàng thế nào: trả trước hay công nợ, bằng đồng tiền nào, qua kênh nào?</t>
  </si>
  <si>
    <t>payables.currency</t>
  </si>
  <si>
    <t>R24</t>
  </si>
  <si>
    <t>Kỳ hạn trả nhà cung cấp thường gặp?</t>
  </si>
  <si>
    <t>payables.due_date</t>
  </si>
  <si>
    <t>R25</t>
  </si>
  <si>
    <t>Có khoản chi bằng USD thường xuyên không (quảng cáo, vận chuyển quốc tế)?</t>
  </si>
  <si>
    <t>Có cần USD hay không</t>
  </si>
  <si>
    <t>Vận hành tài chính của shop</t>
  </si>
  <si>
    <t>R26</t>
  </si>
  <si>
    <t>Shop đang theo dõi tiền bằng gì (Excel, sổ, phần mềm kế toán, không theo dõi)?</t>
  </si>
  <si>
    <t>Định dạng đầu vào, lý do cần FlowWise</t>
  </si>
  <si>
    <t>R27</t>
  </si>
  <si>
    <t>Ai đối soát, mất bao lâu mỗi tuần/tháng?</t>
  </si>
  <si>
    <t>Giá trị tiết kiệm thời gian</t>
  </si>
  <si>
    <t>R28</t>
  </si>
  <si>
    <t>Lần gần nhất thiếu tiền: nguyên nhân là gì?</t>
  </si>
  <si>
    <t>Loại cảnh báo đáng làm nhất</t>
  </si>
  <si>
    <t>Ánh xạ cột settlement của sàn → schema FlowWise</t>
  </si>
  <si>
    <t>Điền tên cột thật khi có file đối soát mẫu. Cột 'Dấu' cho biết khoản cộng hay trừ vào tiền thực nhận.</t>
  </si>
  <si>
    <t>Cột schema FlowWise</t>
  </si>
  <si>
    <t>Ý nghĩa</t>
  </si>
  <si>
    <t>Dấu</t>
  </si>
  <si>
    <t>Công thức / mức phí đã xác minh</t>
  </si>
  <si>
    <t>gross_sales</t>
  </si>
  <si>
    <t>Doanh số đủ điều kiện trong kỳ</t>
  </si>
  <si>
    <t>+</t>
  </si>
  <si>
    <t>Phí sàn (hoa hồng, giao dịch, dịch vụ, voucher người bán chịu)</t>
  </si>
  <si>
    <t>Hoàn tiền / huỷ đơn</t>
  </si>
  <si>
    <t>Phí vận chuyển người bán chịu, phí COD</t>
  </si>
  <si>
    <t>Tiền sàn giữ lại, dự kiến giải phóng sau</t>
  </si>
  <si>
    <t>net_payout</t>
  </si>
  <si>
    <t>Tiền thực nhận trong kỳ theo báo cáo sàn</t>
  </si>
  <si>
    <t>Ngày dự kiến tiền về</t>
  </si>
  <si>
    <t>actual_payout_date</t>
  </si>
  <si>
    <t>Ngày tiền thật sự về (đối chiếu sao kê)</t>
  </si>
  <si>
    <t>Lưu ý logic: tiền bị giữ (hold) chỉ hoãn thời điểm nhận tiền chứ không mất đi, nên cần thêm một cash event ngày giải phóng.</t>
  </si>
  <si>
    <t>Kiểm tra dòng settlement có cộng ra đúng không</t>
  </si>
  <si>
    <t>Nhập các khoản trừ dưới dạng số DƯƠNG. Net tính lại = Gross − Phí − Hoàn − Ship/COD − Hold.</t>
  </si>
  <si>
    <t>Dung sai (VND)</t>
  </si>
  <si>
    <t>Chênh lệch ≤ dung sai thì coi là khớp</t>
  </si>
  <si>
    <t>Ngày</t>
  </si>
  <si>
    <t>Gross</t>
  </si>
  <si>
    <t>Phí sàn</t>
  </si>
  <si>
    <t>Hoàn/huỷ</t>
  </si>
  <si>
    <t>Ship/COD</t>
  </si>
  <si>
    <t>Hold</t>
  </si>
  <si>
    <t>Net theo báo cáo sàn</t>
  </si>
  <si>
    <t>Net tính lại</t>
  </si>
  <si>
    <t>Chênh lệch</t>
  </si>
  <si>
    <t>Kết quả</t>
  </si>
  <si>
    <t>VD 2026-10-06 (thiếu cột Ship/COD)</t>
  </si>
  <si>
    <t>VD 2026-10-06 (đã thêm Ship/COD)</t>
  </si>
  <si>
    <t>Số dòng lệch:</t>
  </si>
  <si>
    <t>Hai dòng VD lấy số từ màn hình ingestion hiện tại; dòng 2 thêm Ship/COD = 3.600.000 để minh họa cột bị ẩn. Xóa khi dùng dữ liệu thật.</t>
  </si>
  <si>
    <t>Bộ câu hỏi và ghi chép phỏng vấn seller</t>
  </si>
  <si>
    <t>Mỗi cột Seller là một người. Ẩn danh: dùng alias (Seller 1, 2, 3). Cột C là ví dụ cách ghi.</t>
  </si>
  <si>
    <t>Câu hỏi</t>
  </si>
  <si>
    <t>Ví dụ cách ghi (minh họa)</t>
  </si>
  <si>
    <t>Seller 1</t>
  </si>
  <si>
    <t>Seller 2</t>
  </si>
  <si>
    <t>Seller 3</t>
  </si>
  <si>
    <t>A. Hồ sơ shop</t>
  </si>
  <si>
    <t>Q01</t>
  </si>
  <si>
    <t>Alias seller và ngày phỏng vấn</t>
  </si>
  <si>
    <t>Seller 1 – 2026-10-14</t>
  </si>
  <si>
    <t>Q02</t>
  </si>
  <si>
    <t>Ngành hàng chính</t>
  </si>
  <si>
    <t>Thời trang nữ</t>
  </si>
  <si>
    <t>Q03</t>
  </si>
  <si>
    <t>Bán trên những kênh nào (Shopee, TikTok Shop, khác)?</t>
  </si>
  <si>
    <t>Shopee + TikTok Shop</t>
  </si>
  <si>
    <t>Q04</t>
  </si>
  <si>
    <t>Ước lượng số đơn mỗi tháng</t>
  </si>
  <si>
    <t>khoảng vài trăm đơn</t>
  </si>
  <si>
    <t>Q05</t>
  </si>
  <si>
    <t>Số người làm vận hành/kế toán</t>
  </si>
  <si>
    <t>2 người</t>
  </si>
  <si>
    <t>B. Tiền sàn trả về</t>
  </si>
  <si>
    <t>Q06</t>
  </si>
  <si>
    <t>Tiền về sau khi giao hàng bao lâu? (R03)</t>
  </si>
  <si>
    <t>ghi đúng lời seller</t>
  </si>
  <si>
    <t>Q07</t>
  </si>
  <si>
    <t>Tháng vừa rồi sàn trừ những khoản nào? (R07–R13)</t>
  </si>
  <si>
    <t>phí, voucher, ship…</t>
  </si>
  <si>
    <t>Q08</t>
  </si>
  <si>
    <t>Hoàn/huỷ đơn thường chiếm bao nhiêu và trừ vào đâu? (R14–R15)</t>
  </si>
  <si>
    <t>Q09</t>
  </si>
  <si>
    <t>Có lần nào tiền về trễ hơn dự kiến không, vì sao? (R05, R16)</t>
  </si>
  <si>
    <t>C. Nhập hàng và tiền tệ</t>
  </si>
  <si>
    <t>Q10</t>
  </si>
  <si>
    <t>Nhập hàng từ đâu, trả bằng đồng tiền nào, qua kênh nào? (R21–R22)</t>
  </si>
  <si>
    <t>Q11</t>
  </si>
  <si>
    <t>Trả trước hay công nợ, kỳ hạn bao lâu? (R23)</t>
  </si>
  <si>
    <t>Q12</t>
  </si>
  <si>
    <t>Có chi USD thường xuyên không (quảng cáo, vận chuyển)? (R24)</t>
  </si>
  <si>
    <t>D. Cách theo dõi tiền</t>
  </si>
  <si>
    <t>Q13</t>
  </si>
  <si>
    <t>Đang theo dõi tiền bằng gì? (R25)</t>
  </si>
  <si>
    <t>Excel / sổ / phần mềm</t>
  </si>
  <si>
    <t>Q14</t>
  </si>
  <si>
    <t>Mất bao lâu mỗi tuần để đối soát? (R26)</t>
  </si>
  <si>
    <t>Q15</t>
  </si>
  <si>
    <t>Lần gần nhất thiếu tiền: chuyện gì xảy ra? (R27)</t>
  </si>
  <si>
    <t>Q16</t>
  </si>
  <si>
    <t>Muốn biết điều gì nhất về tiền 1–3 tháng tới?</t>
  </si>
  <si>
    <t>E. Dữ liệu và đồng ý</t>
  </si>
  <si>
    <t>Q17</t>
  </si>
  <si>
    <t>Có đồng ý chia sẻ file đối soát đã ẩn danh không?</t>
  </si>
  <si>
    <t>Có / Không / Chưa chắc</t>
  </si>
  <si>
    <t>Q18</t>
  </si>
  <si>
    <t>Cho phép trích dẫn ẩn danh trong bài thi không?</t>
  </si>
  <si>
    <t>Có / Không</t>
  </si>
  <si>
    <t>Nguồn cần tra cứu / đã dùng</t>
  </si>
  <si>
    <t>Chính sách sàn có thể thay đổi: luôn ghi ngày tra cứu và dán link thật vào cột D.</t>
  </si>
  <si>
    <t>Nguồn</t>
  </si>
  <si>
    <t>Dùng để xác minh nhóm</t>
  </si>
  <si>
    <t>Link / mã tài liệu</t>
  </si>
  <si>
    <t>Trung tâm hỗ trợ / Seller Education Hub của Shopee (mục thanh toán và phí)</t>
  </si>
  <si>
    <t>Payout, phí, hoàn/huỷ</t>
  </si>
  <si>
    <t>Trung tâm hỗ trợ / Seller Academy của TikTok Shop (mục thanh toán và phí)</t>
  </si>
  <si>
    <t>File đối soát thật xuất từ Seller Centre (đã ẩn danh)</t>
  </si>
  <si>
    <t>Tên cột, mapping, dữ liệu demo</t>
  </si>
  <si>
    <t>Phỏng vấn seller (ghi alias)</t>
  </si>
  <si>
    <t>Vận hành thực tế, nhập hàng, tiền tệ</t>
  </si>
  <si>
    <t>Sao kê ngân hàng của seller (đã ẩn danh)</t>
  </si>
  <si>
    <t>Ngày tiền về thực tế, độ trễ</t>
  </si>
  <si>
    <t>-</t>
  </si>
  <si>
    <t>FlowWise - Sheet tổng hợp nghiệp vụ shop Shopee / TikTok Shop</t>
  </si>
  <si>
    <t>Tên cột thật - Shopee</t>
  </si>
  <si>
    <t>Tên cột thật - TikTok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</si>
</sst>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8" x14ac:knownFonts="1">
    <font>
      <sz val="11"/>
      <color theme="1"/>
      <name val="Calibri"/>
      <family val="2"/>
      <charset val="1"/>
    </font>
    <font>
      <b/>
      <sz val="14"/>
      <color rgb="FF0B7A55"/>
      <name val="Raleway"/>
    </font>
    <font>
      <sz val="11"/>
      <color theme="1"/>
      <name val="Raleway"/>
    </font>
    <font>
      <i/>
      <sz val="10"/>
      <color rgb="FF595959"/>
      <name val="Raleway"/>
    </font>
    <font>
      <b/>
      <sz val="11"/>
      <color rgb="FF0B7A55"/>
      <name val="Raleway"/>
    </font>
    <font>
      <sz val="10"/>
      <name val="Raleway"/>
    </font>
    <font>
      <b/>
      <sz val="10"/>
      <color rgb="FF008000"/>
      <name val="Raleway"/>
    </font>
    <font>
      <i/>
      <sz val="9"/>
      <color rgb="FFC00000"/>
      <name val="Raleway"/>
    </font>
    <font>
      <b/>
      <sz val="10"/>
      <color rgb="FFFFFFFF"/>
      <name val="Raleway"/>
    </font>
    <font>
      <i/>
      <sz val="10"/>
      <color rgb="FF7F7F7F"/>
      <name val="Raleway"/>
    </font>
    <font>
      <b/>
      <sz val="10"/>
      <color rgb="FF0B7A55"/>
      <name val="Raleway"/>
    </font>
    <font>
      <sz val="10"/>
      <color rgb="FF000000"/>
      <name val="Raleway"/>
    </font>
    <font>
      <sz val="10"/>
      <color rgb="FF0000FF"/>
      <name val="Raleway"/>
    </font>
    <font>
      <i/>
      <sz val="10"/>
      <name val="Raleway"/>
    </font>
    <font>
      <b/>
      <sz val="10"/>
      <name val="Raleway"/>
    </font>
    <font>
      <i/>
      <sz val="9"/>
      <name val="Raleway"/>
    </font>
    <font>
      <i/>
      <sz val="11"/>
      <color rgb="FF595959"/>
      <name val="Raleway"/>
    </font>
    <font>
      <i/>
      <sz val="11"/>
      <color rgb="FFC00000"/>
      <name val="Raleway"/>
    </font>
  </fonts>
  <fills count="6">
    <fill>
      <patternFill patternType="none"/>
    </fill>
    <fill>
      <patternFill patternType="gray125"/>
    </fill>
    <fill>
      <patternFill patternType="solid">
        <fgColor rgb="FF0B7A55"/>
        <bgColor rgb="FF008080"/>
      </patternFill>
    </fill>
    <fill>
      <patternFill patternType="solid">
        <fgColor rgb="FFF2F2F2"/>
        <bgColor rgb="FFE3F4EC"/>
      </patternFill>
    </fill>
    <fill>
      <patternFill patternType="solid">
        <fgColor rgb="FFE3F4EC"/>
        <bgColor rgb="FFF2F2F2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9" fontId="6" fillId="0" borderId="1" xfId="0" applyNumberFormat="1" applyFont="1" applyBorder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/>
    <xf numFmtId="0" fontId="2" fillId="4" borderId="1" xfId="0" applyFont="1" applyFill="1" applyBorder="1"/>
    <xf numFmtId="0" fontId="11" fillId="0" borderId="1" xfId="0" applyFont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3" fillId="0" borderId="0" xfId="0" applyFont="1"/>
    <xf numFmtId="164" fontId="11" fillId="0" borderId="1" xfId="0" applyNumberFormat="1" applyFont="1" applyBorder="1" applyAlignment="1">
      <alignment vertical="top" wrapText="1"/>
    </xf>
    <xf numFmtId="164" fontId="12" fillId="5" borderId="1" xfId="0" applyNumberFormat="1" applyFont="1" applyFill="1" applyBorder="1" applyAlignment="1">
      <alignment vertical="top" wrapText="1"/>
    </xf>
    <xf numFmtId="0" fontId="14" fillId="0" borderId="0" xfId="0" applyFont="1"/>
    <xf numFmtId="3" fontId="12" fillId="5" borderId="0" xfId="0" applyNumberFormat="1" applyFont="1" applyFill="1"/>
    <xf numFmtId="0" fontId="15" fillId="0" borderId="0" xfId="0" applyFont="1"/>
    <xf numFmtId="0" fontId="16" fillId="0" borderId="0" xfId="0" applyFont="1"/>
    <xf numFmtId="0" fontId="0" fillId="0" borderId="0" xfId="0" applyFont="1"/>
    <xf numFmtId="0" fontId="17" fillId="0" borderId="0" xfId="0" applyFon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55"/>
      <rgbColor rgb="FFBFBFBF"/>
      <rgbColor rgb="FF7F7F7F"/>
      <rgbColor rgb="FF9999FF"/>
      <rgbColor rgb="FF993366"/>
      <rgbColor rgb="FFFFF9C4"/>
      <rgbColor rgb="FFE3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Normal="100" workbookViewId="0">
      <selection activeCell="B6" sqref="B6"/>
    </sheetView>
  </sheetViews>
  <sheetFormatPr defaultColWidth="8.6640625" defaultRowHeight="17.399999999999999" x14ac:dyDescent="0.4"/>
  <cols>
    <col min="1" max="1" width="48" style="2" customWidth="1"/>
    <col min="2" max="2" width="16" style="2" customWidth="1"/>
    <col min="3" max="16384" width="8.6640625" style="2"/>
  </cols>
  <sheetData>
    <row r="1" spans="1:2" ht="22.2" x14ac:dyDescent="0.5">
      <c r="A1" s="1" t="s">
        <v>233</v>
      </c>
    </row>
    <row r="2" spans="1:2" x14ac:dyDescent="0.4">
      <c r="A2" s="3" t="s">
        <v>0</v>
      </c>
    </row>
    <row r="4" spans="1:2" x14ac:dyDescent="0.4">
      <c r="A4" s="4" t="s">
        <v>1</v>
      </c>
    </row>
    <row r="5" spans="1:2" x14ac:dyDescent="0.4">
      <c r="A5" s="5" t="s">
        <v>2</v>
      </c>
      <c r="B5" s="6">
        <f>COUNTA('Quy tắc nghiệp vụ'!A6:A39)-6</f>
        <v>28</v>
      </c>
    </row>
    <row r="6" spans="1:2" x14ac:dyDescent="0.4">
      <c r="A6" s="5" t="s">
        <v>3</v>
      </c>
      <c r="B6" s="6">
        <f>COUNTIF('Quy tắc nghiệp vụ'!H6:H39,"Đã xác minh*")</f>
        <v>0</v>
      </c>
    </row>
    <row r="7" spans="1:2" x14ac:dyDescent="0.4">
      <c r="A7" s="5" t="s">
        <v>4</v>
      </c>
      <c r="B7" s="6">
        <f>COUNTIF('Quy tắc nghiệp vụ'!H6:H39,"Chưa xác minh")</f>
        <v>28</v>
      </c>
    </row>
    <row r="8" spans="1:2" x14ac:dyDescent="0.4">
      <c r="A8" s="5" t="s">
        <v>5</v>
      </c>
      <c r="B8" s="6">
        <f>COUNTIF('Quy tắc nghiệp vụ'!H6:H39,"Mâu thuẫn")</f>
        <v>0</v>
      </c>
    </row>
    <row r="9" spans="1:2" x14ac:dyDescent="0.4">
      <c r="A9" s="5" t="s">
        <v>6</v>
      </c>
      <c r="B9" s="7">
        <f>IF(B5=0,0,B6/B5)</f>
        <v>0</v>
      </c>
    </row>
    <row r="10" spans="1:2" x14ac:dyDescent="0.4">
      <c r="A10" s="5" t="s">
        <v>7</v>
      </c>
      <c r="B10" s="6">
        <f>COUNTA('Phỏng vấn seller'!D6:F6)</f>
        <v>0</v>
      </c>
    </row>
    <row r="11" spans="1:2" x14ac:dyDescent="0.4">
      <c r="A11" s="5" t="s">
        <v>8</v>
      </c>
      <c r="B11" s="6">
        <f>'Kiểm tra đối soát'!B37</f>
        <v>1</v>
      </c>
    </row>
    <row r="13" spans="1:2" x14ac:dyDescent="0.4">
      <c r="A13" s="4" t="s">
        <v>9</v>
      </c>
    </row>
    <row r="14" spans="1:2" x14ac:dyDescent="0.4">
      <c r="A14" s="8" t="s">
        <v>10</v>
      </c>
    </row>
    <row r="15" spans="1:2" x14ac:dyDescent="0.4">
      <c r="A15" s="8" t="s">
        <v>11</v>
      </c>
    </row>
    <row r="16" spans="1:2" x14ac:dyDescent="0.4">
      <c r="A16" s="8" t="s">
        <v>12</v>
      </c>
    </row>
    <row r="17" spans="1:1" x14ac:dyDescent="0.4">
      <c r="A17" s="8" t="s">
        <v>13</v>
      </c>
    </row>
    <row r="18" spans="1:1" x14ac:dyDescent="0.4">
      <c r="A18" s="8" t="s">
        <v>14</v>
      </c>
    </row>
    <row r="19" spans="1:1" x14ac:dyDescent="0.4">
      <c r="A19" s="8" t="s">
        <v>15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zoomScaleNormal="100" workbookViewId="0">
      <pane xSplit="3" ySplit="4" topLeftCell="G29" activePane="bottomRight" state="frozen"/>
      <selection pane="topRight" activeCell="D1" sqref="D1"/>
      <selection pane="bottomLeft" activeCell="A5" sqref="A5"/>
      <selection pane="bottomRight" activeCell="C33" sqref="C33"/>
    </sheetView>
  </sheetViews>
  <sheetFormatPr defaultColWidth="8.6640625" defaultRowHeight="14.4" x14ac:dyDescent="0.3"/>
  <cols>
    <col min="1" max="1" width="7" customWidth="1"/>
    <col min="2" max="2" width="22" customWidth="1"/>
    <col min="3" max="3" width="59" customWidth="1"/>
    <col min="4" max="5" width="28" customWidth="1"/>
    <col min="6" max="6" width="32" customWidth="1"/>
    <col min="7" max="7" width="13" customWidth="1"/>
    <col min="8" max="8" width="22" customWidth="1"/>
    <col min="9" max="9" width="30" customWidth="1"/>
    <col min="10" max="10" width="28" customWidth="1"/>
  </cols>
  <sheetData>
    <row r="1" spans="1:10" ht="22.2" x14ac:dyDescent="0.5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s="23" customFormat="1" ht="17.399999999999999" x14ac:dyDescent="0.4">
      <c r="A2" s="22" t="s">
        <v>17</v>
      </c>
      <c r="B2" s="2"/>
      <c r="C2" s="2"/>
      <c r="D2" s="2"/>
      <c r="E2" s="2"/>
      <c r="F2" s="2"/>
      <c r="G2" s="2"/>
      <c r="H2" s="2"/>
      <c r="I2" s="2"/>
      <c r="J2" s="2"/>
    </row>
    <row r="3" spans="1:10" s="23" customFormat="1" ht="17.399999999999999" x14ac:dyDescent="0.4">
      <c r="A3" s="24" t="s">
        <v>18</v>
      </c>
      <c r="B3" s="2"/>
      <c r="C3" s="2"/>
      <c r="D3" s="2"/>
      <c r="E3" s="2"/>
      <c r="F3" s="2"/>
      <c r="G3" s="2"/>
      <c r="H3" s="2"/>
      <c r="I3" s="2"/>
      <c r="J3" s="2"/>
    </row>
    <row r="4" spans="1:10" ht="33.6" x14ac:dyDescent="0.3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</row>
    <row r="5" spans="1:10" ht="33.6" x14ac:dyDescent="0.3">
      <c r="A5" s="11" t="s">
        <v>29</v>
      </c>
      <c r="B5" s="11" t="s">
        <v>30</v>
      </c>
      <c r="C5" s="11" t="s">
        <v>31</v>
      </c>
      <c r="D5" s="11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</row>
    <row r="6" spans="1:10" ht="17.399999999999999" x14ac:dyDescent="0.4">
      <c r="A6" s="12" t="s">
        <v>30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33.6" x14ac:dyDescent="0.3">
      <c r="A7" s="14" t="s">
        <v>39</v>
      </c>
      <c r="B7" s="14" t="s">
        <v>30</v>
      </c>
      <c r="C7" s="14" t="s">
        <v>40</v>
      </c>
      <c r="D7" s="15"/>
      <c r="E7" s="15"/>
      <c r="F7" s="15"/>
      <c r="G7" s="15"/>
      <c r="H7" s="14" t="s">
        <v>4</v>
      </c>
      <c r="I7" s="14" t="s">
        <v>41</v>
      </c>
      <c r="J7" s="15"/>
    </row>
    <row r="8" spans="1:10" ht="33.6" x14ac:dyDescent="0.3">
      <c r="A8" s="14" t="s">
        <v>42</v>
      </c>
      <c r="B8" s="14" t="s">
        <v>30</v>
      </c>
      <c r="C8" s="14" t="s">
        <v>43</v>
      </c>
      <c r="D8" s="15"/>
      <c r="E8" s="15"/>
      <c r="F8" s="15"/>
      <c r="G8" s="15"/>
      <c r="H8" s="14" t="s">
        <v>4</v>
      </c>
      <c r="I8" s="14" t="s">
        <v>44</v>
      </c>
      <c r="J8" s="15"/>
    </row>
    <row r="9" spans="1:10" ht="33.6" x14ac:dyDescent="0.3">
      <c r="A9" s="14" t="s">
        <v>45</v>
      </c>
      <c r="B9" s="14" t="s">
        <v>30</v>
      </c>
      <c r="C9" s="14" t="s">
        <v>31</v>
      </c>
      <c r="D9" s="15"/>
      <c r="E9" s="15"/>
      <c r="F9" s="15"/>
      <c r="G9" s="15"/>
      <c r="H9" s="14" t="s">
        <v>4</v>
      </c>
      <c r="I9" s="14" t="s">
        <v>37</v>
      </c>
      <c r="J9" s="15"/>
    </row>
    <row r="10" spans="1:10" ht="33.6" x14ac:dyDescent="0.3">
      <c r="A10" s="14" t="s">
        <v>46</v>
      </c>
      <c r="B10" s="14" t="s">
        <v>30</v>
      </c>
      <c r="C10" s="14" t="s">
        <v>47</v>
      </c>
      <c r="D10" s="15"/>
      <c r="E10" s="15"/>
      <c r="F10" s="15"/>
      <c r="G10" s="15"/>
      <c r="H10" s="14" t="s">
        <v>4</v>
      </c>
      <c r="I10" s="14" t="s">
        <v>48</v>
      </c>
      <c r="J10" s="15"/>
    </row>
    <row r="11" spans="1:10" ht="33.6" x14ac:dyDescent="0.3">
      <c r="A11" s="14" t="s">
        <v>49</v>
      </c>
      <c r="B11" s="14" t="s">
        <v>30</v>
      </c>
      <c r="C11" s="14" t="s">
        <v>50</v>
      </c>
      <c r="D11" s="15"/>
      <c r="E11" s="15"/>
      <c r="F11" s="15"/>
      <c r="G11" s="15"/>
      <c r="H11" s="14" t="s">
        <v>4</v>
      </c>
      <c r="I11" s="14" t="s">
        <v>51</v>
      </c>
      <c r="J11" s="15"/>
    </row>
    <row r="12" spans="1:10" ht="33.6" x14ac:dyDescent="0.3">
      <c r="A12" s="14" t="s">
        <v>52</v>
      </c>
      <c r="B12" s="14" t="s">
        <v>30</v>
      </c>
      <c r="C12" s="14" t="s">
        <v>53</v>
      </c>
      <c r="D12" s="15"/>
      <c r="E12" s="15"/>
      <c r="F12" s="15"/>
      <c r="G12" s="15"/>
      <c r="H12" s="14" t="s">
        <v>4</v>
      </c>
      <c r="I12" s="14" t="s">
        <v>54</v>
      </c>
      <c r="J12" s="15"/>
    </row>
    <row r="13" spans="1:10" ht="17.399999999999999" x14ac:dyDescent="0.4">
      <c r="A13" s="12" t="s">
        <v>55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33.6" x14ac:dyDescent="0.3">
      <c r="A14" s="14" t="s">
        <v>56</v>
      </c>
      <c r="B14" s="14" t="s">
        <v>55</v>
      </c>
      <c r="C14" s="14" t="s">
        <v>57</v>
      </c>
      <c r="D14" s="15"/>
      <c r="E14" s="15"/>
      <c r="F14" s="15"/>
      <c r="G14" s="15"/>
      <c r="H14" s="14" t="s">
        <v>4</v>
      </c>
      <c r="I14" s="14" t="s">
        <v>58</v>
      </c>
      <c r="J14" s="15"/>
    </row>
    <row r="15" spans="1:10" ht="16.8" x14ac:dyDescent="0.3">
      <c r="A15" s="14" t="s">
        <v>59</v>
      </c>
      <c r="B15" s="14" t="s">
        <v>55</v>
      </c>
      <c r="C15" s="14" t="s">
        <v>60</v>
      </c>
      <c r="D15" s="15"/>
      <c r="E15" s="15"/>
      <c r="F15" s="15"/>
      <c r="G15" s="15"/>
      <c r="H15" s="14" t="s">
        <v>4</v>
      </c>
      <c r="I15" s="14" t="s">
        <v>58</v>
      </c>
      <c r="J15" s="15"/>
    </row>
    <row r="16" spans="1:10" ht="33.6" x14ac:dyDescent="0.3">
      <c r="A16" s="14" t="s">
        <v>61</v>
      </c>
      <c r="B16" s="14" t="s">
        <v>55</v>
      </c>
      <c r="C16" s="14" t="s">
        <v>62</v>
      </c>
      <c r="D16" s="15"/>
      <c r="E16" s="15"/>
      <c r="F16" s="15"/>
      <c r="G16" s="15"/>
      <c r="H16" s="14" t="s">
        <v>4</v>
      </c>
      <c r="I16" s="14" t="s">
        <v>58</v>
      </c>
      <c r="J16" s="15"/>
    </row>
    <row r="17" spans="1:10" ht="33.6" x14ac:dyDescent="0.3">
      <c r="A17" s="14" t="s">
        <v>63</v>
      </c>
      <c r="B17" s="14" t="s">
        <v>55</v>
      </c>
      <c r="C17" s="14" t="s">
        <v>64</v>
      </c>
      <c r="D17" s="15"/>
      <c r="E17" s="15"/>
      <c r="F17" s="15"/>
      <c r="G17" s="15"/>
      <c r="H17" s="14" t="s">
        <v>4</v>
      </c>
      <c r="I17" s="14" t="s">
        <v>65</v>
      </c>
      <c r="J17" s="15"/>
    </row>
    <row r="18" spans="1:10" ht="16.8" x14ac:dyDescent="0.3">
      <c r="A18" s="14" t="s">
        <v>66</v>
      </c>
      <c r="B18" s="14" t="s">
        <v>55</v>
      </c>
      <c r="C18" s="14" t="s">
        <v>67</v>
      </c>
      <c r="D18" s="15"/>
      <c r="E18" s="15"/>
      <c r="F18" s="15"/>
      <c r="G18" s="15"/>
      <c r="H18" s="14" t="s">
        <v>4</v>
      </c>
      <c r="I18" s="14" t="s">
        <v>68</v>
      </c>
      <c r="J18" s="15"/>
    </row>
    <row r="19" spans="1:10" ht="16.8" x14ac:dyDescent="0.3">
      <c r="A19" s="14" t="s">
        <v>69</v>
      </c>
      <c r="B19" s="14" t="s">
        <v>55</v>
      </c>
      <c r="C19" s="14" t="s">
        <v>70</v>
      </c>
      <c r="D19" s="15"/>
      <c r="E19" s="15"/>
      <c r="F19" s="15"/>
      <c r="G19" s="15"/>
      <c r="H19" s="14" t="s">
        <v>4</v>
      </c>
      <c r="I19" s="14" t="s">
        <v>68</v>
      </c>
      <c r="J19" s="15"/>
    </row>
    <row r="20" spans="1:10" ht="16.8" x14ac:dyDescent="0.3">
      <c r="A20" s="14" t="s">
        <v>71</v>
      </c>
      <c r="B20" s="14" t="s">
        <v>55</v>
      </c>
      <c r="C20" s="14" t="s">
        <v>72</v>
      </c>
      <c r="D20" s="15"/>
      <c r="E20" s="15"/>
      <c r="F20" s="15"/>
      <c r="G20" s="15"/>
      <c r="H20" s="14" t="s">
        <v>4</v>
      </c>
      <c r="I20" s="14" t="s">
        <v>73</v>
      </c>
      <c r="J20" s="15"/>
    </row>
    <row r="21" spans="1:10" ht="17.399999999999999" x14ac:dyDescent="0.4">
      <c r="A21" s="12" t="s">
        <v>74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33.6" x14ac:dyDescent="0.3">
      <c r="A22" s="14" t="s">
        <v>75</v>
      </c>
      <c r="B22" s="14" t="s">
        <v>74</v>
      </c>
      <c r="C22" s="14" t="s">
        <v>76</v>
      </c>
      <c r="D22" s="15"/>
      <c r="E22" s="15"/>
      <c r="F22" s="15"/>
      <c r="G22" s="15"/>
      <c r="H22" s="14" t="s">
        <v>4</v>
      </c>
      <c r="I22" s="14" t="s">
        <v>77</v>
      </c>
      <c r="J22" s="15"/>
    </row>
    <row r="23" spans="1:10" ht="33.6" x14ac:dyDescent="0.3">
      <c r="A23" s="14" t="s">
        <v>78</v>
      </c>
      <c r="B23" s="14" t="s">
        <v>74</v>
      </c>
      <c r="C23" s="14" t="s">
        <v>79</v>
      </c>
      <c r="D23" s="15"/>
      <c r="E23" s="15"/>
      <c r="F23" s="15"/>
      <c r="G23" s="15"/>
      <c r="H23" s="14" t="s">
        <v>4</v>
      </c>
      <c r="I23" s="14" t="s">
        <v>80</v>
      </c>
      <c r="J23" s="15"/>
    </row>
    <row r="24" spans="1:10" ht="33.6" x14ac:dyDescent="0.3">
      <c r="A24" s="14" t="s">
        <v>81</v>
      </c>
      <c r="B24" s="14" t="s">
        <v>74</v>
      </c>
      <c r="C24" s="14" t="s">
        <v>82</v>
      </c>
      <c r="D24" s="15"/>
      <c r="E24" s="15"/>
      <c r="F24" s="15"/>
      <c r="G24" s="15"/>
      <c r="H24" s="14" t="s">
        <v>4</v>
      </c>
      <c r="I24" s="14" t="s">
        <v>83</v>
      </c>
      <c r="J24" s="15"/>
    </row>
    <row r="25" spans="1:10" ht="33.6" x14ac:dyDescent="0.3">
      <c r="A25" s="14" t="s">
        <v>84</v>
      </c>
      <c r="B25" s="14" t="s">
        <v>74</v>
      </c>
      <c r="C25" s="14" t="s">
        <v>85</v>
      </c>
      <c r="D25" s="15"/>
      <c r="E25" s="15"/>
      <c r="F25" s="15"/>
      <c r="G25" s="15"/>
      <c r="H25" s="14" t="s">
        <v>4</v>
      </c>
      <c r="I25" s="14" t="s">
        <v>86</v>
      </c>
      <c r="J25" s="15"/>
    </row>
    <row r="26" spans="1:10" ht="17.399999999999999" x14ac:dyDescent="0.4">
      <c r="A26" s="12" t="s">
        <v>87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33.6" x14ac:dyDescent="0.3">
      <c r="A27" s="14" t="s">
        <v>88</v>
      </c>
      <c r="B27" s="14" t="s">
        <v>87</v>
      </c>
      <c r="C27" s="14" t="s">
        <v>89</v>
      </c>
      <c r="D27" s="15"/>
      <c r="E27" s="15"/>
      <c r="F27" s="15"/>
      <c r="G27" s="15"/>
      <c r="H27" s="14" t="s">
        <v>4</v>
      </c>
      <c r="I27" s="14" t="s">
        <v>90</v>
      </c>
      <c r="J27" s="15"/>
    </row>
    <row r="28" spans="1:10" ht="33.6" x14ac:dyDescent="0.3">
      <c r="A28" s="14" t="s">
        <v>91</v>
      </c>
      <c r="B28" s="14" t="s">
        <v>87</v>
      </c>
      <c r="C28" s="14" t="s">
        <v>92</v>
      </c>
      <c r="D28" s="15"/>
      <c r="E28" s="15"/>
      <c r="F28" s="15"/>
      <c r="G28" s="15"/>
      <c r="H28" s="14" t="s">
        <v>4</v>
      </c>
      <c r="I28" s="14" t="s">
        <v>93</v>
      </c>
      <c r="J28" s="15"/>
    </row>
    <row r="29" spans="1:10" ht="33.6" x14ac:dyDescent="0.3">
      <c r="A29" s="14" t="s">
        <v>94</v>
      </c>
      <c r="B29" s="14" t="s">
        <v>87</v>
      </c>
      <c r="C29" s="14" t="s">
        <v>95</v>
      </c>
      <c r="D29" s="15"/>
      <c r="E29" s="15"/>
      <c r="F29" s="15"/>
      <c r="G29" s="15"/>
      <c r="H29" s="14" t="s">
        <v>4</v>
      </c>
      <c r="I29" s="14" t="s">
        <v>96</v>
      </c>
      <c r="J29" s="15"/>
    </row>
    <row r="30" spans="1:10" ht="33.6" x14ac:dyDescent="0.3">
      <c r="A30" s="14" t="s">
        <v>97</v>
      </c>
      <c r="B30" s="14" t="s">
        <v>87</v>
      </c>
      <c r="C30" s="14" t="s">
        <v>98</v>
      </c>
      <c r="D30" s="15"/>
      <c r="E30" s="15"/>
      <c r="F30" s="15"/>
      <c r="G30" s="15"/>
      <c r="H30" s="14" t="s">
        <v>4</v>
      </c>
      <c r="I30" s="14" t="s">
        <v>99</v>
      </c>
      <c r="J30" s="15"/>
    </row>
    <row r="31" spans="1:10" ht="17.399999999999999" x14ac:dyDescent="0.4">
      <c r="A31" s="12" t="s">
        <v>100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33.6" x14ac:dyDescent="0.3">
      <c r="A32" s="14" t="s">
        <v>101</v>
      </c>
      <c r="B32" s="14" t="s">
        <v>100</v>
      </c>
      <c r="C32" s="14" t="s">
        <v>102</v>
      </c>
      <c r="D32" s="15"/>
      <c r="E32" s="15"/>
      <c r="F32" s="15"/>
      <c r="G32" s="15"/>
      <c r="H32" s="14" t="s">
        <v>4</v>
      </c>
      <c r="I32" s="14" t="s">
        <v>103</v>
      </c>
      <c r="J32" s="15"/>
    </row>
    <row r="33" spans="1:10" ht="33.6" x14ac:dyDescent="0.3">
      <c r="A33" s="14" t="s">
        <v>104</v>
      </c>
      <c r="B33" s="14" t="s">
        <v>100</v>
      </c>
      <c r="C33" s="14" t="s">
        <v>105</v>
      </c>
      <c r="D33" s="15"/>
      <c r="E33" s="15"/>
      <c r="F33" s="15"/>
      <c r="G33" s="15"/>
      <c r="H33" s="14" t="s">
        <v>4</v>
      </c>
      <c r="I33" s="14" t="s">
        <v>106</v>
      </c>
      <c r="J33" s="15"/>
    </row>
    <row r="34" spans="1:10" ht="16.8" x14ac:dyDescent="0.3">
      <c r="A34" s="14" t="s">
        <v>107</v>
      </c>
      <c r="B34" s="14" t="s">
        <v>100</v>
      </c>
      <c r="C34" s="14" t="s">
        <v>108</v>
      </c>
      <c r="D34" s="15"/>
      <c r="E34" s="15"/>
      <c r="F34" s="15"/>
      <c r="G34" s="15"/>
      <c r="H34" s="14" t="s">
        <v>4</v>
      </c>
      <c r="I34" s="14" t="s">
        <v>109</v>
      </c>
      <c r="J34" s="15"/>
    </row>
    <row r="35" spans="1:10" ht="33.6" x14ac:dyDescent="0.3">
      <c r="A35" s="14" t="s">
        <v>110</v>
      </c>
      <c r="B35" s="14" t="s">
        <v>100</v>
      </c>
      <c r="C35" s="14" t="s">
        <v>111</v>
      </c>
      <c r="D35" s="15"/>
      <c r="E35" s="15"/>
      <c r="F35" s="15"/>
      <c r="G35" s="15"/>
      <c r="H35" s="14" t="s">
        <v>4</v>
      </c>
      <c r="I35" s="14" t="s">
        <v>112</v>
      </c>
      <c r="J35" s="15"/>
    </row>
    <row r="36" spans="1:10" ht="17.399999999999999" x14ac:dyDescent="0.4">
      <c r="A36" s="12" t="s">
        <v>113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33.6" x14ac:dyDescent="0.3">
      <c r="A37" s="14" t="s">
        <v>114</v>
      </c>
      <c r="B37" s="14" t="s">
        <v>113</v>
      </c>
      <c r="C37" s="14" t="s">
        <v>115</v>
      </c>
      <c r="D37" s="15"/>
      <c r="E37" s="15"/>
      <c r="F37" s="15"/>
      <c r="G37" s="15"/>
      <c r="H37" s="14" t="s">
        <v>4</v>
      </c>
      <c r="I37" s="14" t="s">
        <v>116</v>
      </c>
      <c r="J37" s="15"/>
    </row>
    <row r="38" spans="1:10" ht="33.6" x14ac:dyDescent="0.3">
      <c r="A38" s="14" t="s">
        <v>117</v>
      </c>
      <c r="B38" s="14" t="s">
        <v>113</v>
      </c>
      <c r="C38" s="14" t="s">
        <v>118</v>
      </c>
      <c r="D38" s="15"/>
      <c r="E38" s="15"/>
      <c r="F38" s="15"/>
      <c r="G38" s="15"/>
      <c r="H38" s="14" t="s">
        <v>4</v>
      </c>
      <c r="I38" s="14" t="s">
        <v>119</v>
      </c>
      <c r="J38" s="15"/>
    </row>
    <row r="39" spans="1:10" ht="33.6" x14ac:dyDescent="0.3">
      <c r="A39" s="14" t="s">
        <v>120</v>
      </c>
      <c r="B39" s="14" t="s">
        <v>113</v>
      </c>
      <c r="C39" s="14" t="s">
        <v>121</v>
      </c>
      <c r="D39" s="15"/>
      <c r="E39" s="15"/>
      <c r="F39" s="15"/>
      <c r="G39" s="15"/>
      <c r="H39" s="14" t="s">
        <v>4</v>
      </c>
      <c r="I39" s="14" t="s">
        <v>122</v>
      </c>
      <c r="J39" s="15"/>
    </row>
  </sheetData>
  <conditionalFormatting sqref="H6:H39">
    <cfRule type="cellIs" dxfId="3" priority="2" operator="equal">
      <formula>"Mâu thuẫn"</formula>
    </cfRule>
    <cfRule type="expression" dxfId="2" priority="3">
      <formula>LEFT(H6,2)="Đã"</formula>
    </cfRule>
  </conditionalFormatting>
  <dataValidations count="1">
    <dataValidation type="list" allowBlank="1" sqref="H6:H39" xr:uid="{00000000-0002-0000-0100-000000000000}">
      <formula1>"Chưa xác minh,Đã xác minh (chính sách),Đã xác minh (seller),Mâu thuẫn"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6640625" defaultRowHeight="14.4" x14ac:dyDescent="0.3"/>
  <cols>
    <col min="1" max="1" width="24" customWidth="1"/>
    <col min="2" max="2" width="50" customWidth="1"/>
    <col min="3" max="3" width="7" customWidth="1"/>
    <col min="4" max="5" width="28" customWidth="1"/>
    <col min="6" max="6" width="36" customWidth="1"/>
    <col min="7" max="7" width="22" customWidth="1"/>
  </cols>
  <sheetData>
    <row r="1" spans="1:7" ht="22.2" x14ac:dyDescent="0.5">
      <c r="A1" s="1" t="s">
        <v>123</v>
      </c>
      <c r="B1" s="2"/>
      <c r="C1" s="2"/>
      <c r="D1" s="2"/>
    </row>
    <row r="2" spans="1:7" ht="17.399999999999999" x14ac:dyDescent="0.4">
      <c r="A2" s="3" t="s">
        <v>124</v>
      </c>
      <c r="B2" s="2"/>
      <c r="C2" s="2"/>
      <c r="D2" s="2"/>
    </row>
    <row r="3" spans="1:7" ht="17.399999999999999" x14ac:dyDescent="0.4">
      <c r="A3" s="2"/>
      <c r="B3" s="2"/>
      <c r="C3" s="2"/>
      <c r="D3" s="2"/>
    </row>
    <row r="4" spans="1:7" ht="16.8" x14ac:dyDescent="0.3">
      <c r="A4" s="10" t="s">
        <v>125</v>
      </c>
      <c r="B4" s="10" t="s">
        <v>126</v>
      </c>
      <c r="C4" s="10" t="s">
        <v>127</v>
      </c>
      <c r="D4" s="10" t="s">
        <v>234</v>
      </c>
      <c r="E4" s="10" t="s">
        <v>235</v>
      </c>
      <c r="F4" s="10" t="s">
        <v>128</v>
      </c>
      <c r="G4" s="10" t="s">
        <v>26</v>
      </c>
    </row>
    <row r="5" spans="1:7" ht="16.8" x14ac:dyDescent="0.3">
      <c r="A5" s="14" t="s">
        <v>129</v>
      </c>
      <c r="B5" s="14" t="s">
        <v>130</v>
      </c>
      <c r="C5" s="14" t="s">
        <v>131</v>
      </c>
      <c r="D5" s="15"/>
      <c r="E5" s="15"/>
      <c r="F5" s="15"/>
      <c r="G5" s="14" t="s">
        <v>4</v>
      </c>
    </row>
    <row r="6" spans="1:7" ht="33.6" x14ac:dyDescent="0.3">
      <c r="A6" s="14" t="s">
        <v>58</v>
      </c>
      <c r="B6" s="14" t="s">
        <v>132</v>
      </c>
      <c r="C6" s="14" t="s">
        <v>232</v>
      </c>
      <c r="D6" s="15"/>
      <c r="E6" s="15"/>
      <c r="F6" s="15"/>
      <c r="G6" s="14" t="s">
        <v>4</v>
      </c>
    </row>
    <row r="7" spans="1:7" ht="16.8" x14ac:dyDescent="0.3">
      <c r="A7" s="14" t="s">
        <v>77</v>
      </c>
      <c r="B7" s="14" t="s">
        <v>133</v>
      </c>
      <c r="C7" s="14" t="s">
        <v>232</v>
      </c>
      <c r="D7" s="15"/>
      <c r="E7" s="15"/>
      <c r="F7" s="15"/>
      <c r="G7" s="14" t="s">
        <v>4</v>
      </c>
    </row>
    <row r="8" spans="1:7" ht="16.8" x14ac:dyDescent="0.3">
      <c r="A8" s="14" t="s">
        <v>68</v>
      </c>
      <c r="B8" s="14" t="s">
        <v>134</v>
      </c>
      <c r="C8" s="14" t="s">
        <v>232</v>
      </c>
      <c r="D8" s="15"/>
      <c r="E8" s="15"/>
      <c r="F8" s="15"/>
      <c r="G8" s="14" t="s">
        <v>4</v>
      </c>
    </row>
    <row r="9" spans="1:7" ht="16.8" x14ac:dyDescent="0.3">
      <c r="A9" s="14" t="s">
        <v>83</v>
      </c>
      <c r="B9" s="14" t="s">
        <v>135</v>
      </c>
      <c r="C9" s="14" t="s">
        <v>232</v>
      </c>
      <c r="D9" s="15"/>
      <c r="E9" s="15"/>
      <c r="F9" s="15"/>
      <c r="G9" s="14" t="s">
        <v>4</v>
      </c>
    </row>
    <row r="10" spans="1:7" ht="16.8" x14ac:dyDescent="0.3">
      <c r="A10" s="14" t="s">
        <v>136</v>
      </c>
      <c r="B10" s="14" t="s">
        <v>137</v>
      </c>
      <c r="C10" s="14"/>
      <c r="D10" s="15"/>
      <c r="E10" s="15"/>
      <c r="F10" s="15"/>
      <c r="G10" s="14" t="s">
        <v>4</v>
      </c>
    </row>
    <row r="11" spans="1:7" ht="16.8" x14ac:dyDescent="0.3">
      <c r="A11" s="14" t="s">
        <v>37</v>
      </c>
      <c r="B11" s="14" t="s">
        <v>138</v>
      </c>
      <c r="C11" s="14" t="s">
        <v>232</v>
      </c>
      <c r="D11" s="15"/>
      <c r="E11" s="15"/>
      <c r="F11" s="15"/>
      <c r="G11" s="14" t="s">
        <v>4</v>
      </c>
    </row>
    <row r="12" spans="1:7" ht="16.8" x14ac:dyDescent="0.3">
      <c r="A12" s="14" t="s">
        <v>139</v>
      </c>
      <c r="B12" s="14" t="s">
        <v>140</v>
      </c>
      <c r="C12" s="14" t="s">
        <v>232</v>
      </c>
      <c r="D12" s="15"/>
      <c r="E12" s="15"/>
      <c r="F12" s="15"/>
      <c r="G12" s="14" t="s">
        <v>4</v>
      </c>
    </row>
    <row r="13" spans="1:7" ht="17.399999999999999" x14ac:dyDescent="0.4">
      <c r="A13" s="2"/>
      <c r="B13" s="2"/>
      <c r="C13" s="2"/>
      <c r="D13" s="2"/>
      <c r="E13" s="2"/>
      <c r="F13" s="2"/>
      <c r="G13" s="2"/>
    </row>
    <row r="14" spans="1:7" ht="17.399999999999999" x14ac:dyDescent="0.4">
      <c r="A14" s="16" t="s">
        <v>141</v>
      </c>
      <c r="B14" s="2"/>
      <c r="C14" s="2"/>
      <c r="D14" s="2"/>
      <c r="E14" s="2"/>
      <c r="F14" s="2"/>
      <c r="G14" s="2"/>
    </row>
  </sheetData>
  <dataValidations count="1">
    <dataValidation type="list" allowBlank="1" sqref="G5:G12" xr:uid="{00000000-0002-0000-0200-000000000000}">
      <formula1>"Chưa xác minh,Đã xác minh (chính sách),Đã xác minh (seller),Mâu thuẫn"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zoomScaleNormal="100" workbookViewId="0">
      <pane ySplit="5" topLeftCell="A6" activePane="bottomLeft" state="frozen"/>
      <selection pane="bottomLeft" activeCell="C27" sqref="C27"/>
    </sheetView>
  </sheetViews>
  <sheetFormatPr defaultColWidth="8.6640625" defaultRowHeight="17.399999999999999" x14ac:dyDescent="0.4"/>
  <cols>
    <col min="1" max="1" width="34" style="2" customWidth="1"/>
    <col min="2" max="2" width="15" style="2" customWidth="1"/>
    <col min="3" max="6" width="14" style="2" customWidth="1"/>
    <col min="7" max="7" width="20" style="2" customWidth="1"/>
    <col min="8" max="8" width="16" style="2" customWidth="1"/>
    <col min="9" max="9" width="14" style="2" customWidth="1"/>
    <col min="10" max="10" width="11" style="2" customWidth="1"/>
    <col min="11" max="16384" width="8.6640625" style="2"/>
  </cols>
  <sheetData>
    <row r="1" spans="1:10" ht="22.2" x14ac:dyDescent="0.5">
      <c r="A1" s="1" t="s">
        <v>142</v>
      </c>
    </row>
    <row r="2" spans="1:10" x14ac:dyDescent="0.4">
      <c r="A2" s="3" t="s">
        <v>143</v>
      </c>
    </row>
    <row r="3" spans="1:10" x14ac:dyDescent="0.4">
      <c r="A3" s="19" t="s">
        <v>144</v>
      </c>
      <c r="B3" s="20">
        <v>1000</v>
      </c>
      <c r="C3" s="21" t="s">
        <v>145</v>
      </c>
    </row>
    <row r="5" spans="1:10" ht="33.6" x14ac:dyDescent="0.4">
      <c r="A5" s="10" t="s">
        <v>146</v>
      </c>
      <c r="B5" s="10" t="s">
        <v>147</v>
      </c>
      <c r="C5" s="10" t="s">
        <v>148</v>
      </c>
      <c r="D5" s="10" t="s">
        <v>149</v>
      </c>
      <c r="E5" s="10" t="s">
        <v>150</v>
      </c>
      <c r="F5" s="10" t="s">
        <v>151</v>
      </c>
      <c r="G5" s="10" t="s">
        <v>152</v>
      </c>
      <c r="H5" s="10" t="s">
        <v>153</v>
      </c>
      <c r="I5" s="10" t="s">
        <v>154</v>
      </c>
      <c r="J5" s="10" t="s">
        <v>155</v>
      </c>
    </row>
    <row r="6" spans="1:10" x14ac:dyDescent="0.4">
      <c r="A6" s="15" t="s">
        <v>156</v>
      </c>
      <c r="B6" s="18">
        <v>45000000</v>
      </c>
      <c r="C6" s="18">
        <v>5400000</v>
      </c>
      <c r="D6" s="18">
        <v>0</v>
      </c>
      <c r="E6" s="18">
        <v>0</v>
      </c>
      <c r="F6" s="18">
        <v>4500000</v>
      </c>
      <c r="G6" s="18">
        <v>31500000</v>
      </c>
      <c r="H6" s="17">
        <f t="shared" ref="H6:H35" si="0">IF(B6="","",B6-C6-D6-E6-F6)</f>
        <v>35100000</v>
      </c>
      <c r="I6" s="17">
        <f t="shared" ref="I6:I35" si="1">IF(B6="","",G6-H6)</f>
        <v>-3600000</v>
      </c>
      <c r="J6" s="14" t="str">
        <f t="shared" ref="J6:J35" si="2">IF(B6="","",IF(ABS(I6)&lt;=$B$3,"Khớp","LỆCH"))</f>
        <v>LỆCH</v>
      </c>
    </row>
    <row r="7" spans="1:10" x14ac:dyDescent="0.4">
      <c r="A7" s="15" t="s">
        <v>157</v>
      </c>
      <c r="B7" s="18">
        <v>45000000</v>
      </c>
      <c r="C7" s="18">
        <v>5400000</v>
      </c>
      <c r="D7" s="18">
        <v>0</v>
      </c>
      <c r="E7" s="18">
        <v>3600000</v>
      </c>
      <c r="F7" s="18">
        <v>4500000</v>
      </c>
      <c r="G7" s="18">
        <v>31500000</v>
      </c>
      <c r="H7" s="17">
        <f t="shared" si="0"/>
        <v>31500000</v>
      </c>
      <c r="I7" s="17">
        <f t="shared" si="1"/>
        <v>0</v>
      </c>
      <c r="J7" s="14" t="str">
        <f t="shared" si="2"/>
        <v>Khớp</v>
      </c>
    </row>
    <row r="8" spans="1:10" x14ac:dyDescent="0.4">
      <c r="A8" s="15"/>
      <c r="B8" s="18"/>
      <c r="C8" s="18"/>
      <c r="D8" s="18"/>
      <c r="E8" s="18"/>
      <c r="F8" s="18"/>
      <c r="G8" s="18"/>
      <c r="H8" s="17" t="str">
        <f t="shared" si="0"/>
        <v/>
      </c>
      <c r="I8" s="17" t="str">
        <f t="shared" si="1"/>
        <v/>
      </c>
      <c r="J8" s="14" t="str">
        <f t="shared" si="2"/>
        <v/>
      </c>
    </row>
    <row r="9" spans="1:10" x14ac:dyDescent="0.4">
      <c r="A9" s="15"/>
      <c r="B9" s="18"/>
      <c r="C9" s="18"/>
      <c r="D9" s="18"/>
      <c r="E9" s="18"/>
      <c r="F9" s="18"/>
      <c r="G9" s="18"/>
      <c r="H9" s="17" t="str">
        <f t="shared" si="0"/>
        <v/>
      </c>
      <c r="I9" s="17" t="str">
        <f t="shared" si="1"/>
        <v/>
      </c>
      <c r="J9" s="14" t="str">
        <f t="shared" si="2"/>
        <v/>
      </c>
    </row>
    <row r="10" spans="1:10" x14ac:dyDescent="0.4">
      <c r="A10" s="15"/>
      <c r="B10" s="18"/>
      <c r="C10" s="18"/>
      <c r="D10" s="18"/>
      <c r="E10" s="18"/>
      <c r="F10" s="18"/>
      <c r="G10" s="18"/>
      <c r="H10" s="17" t="str">
        <f t="shared" si="0"/>
        <v/>
      </c>
      <c r="I10" s="17" t="str">
        <f t="shared" si="1"/>
        <v/>
      </c>
      <c r="J10" s="14" t="str">
        <f t="shared" si="2"/>
        <v/>
      </c>
    </row>
    <row r="11" spans="1:10" x14ac:dyDescent="0.4">
      <c r="A11" s="15"/>
      <c r="B11" s="18"/>
      <c r="C11" s="18"/>
      <c r="D11" s="18"/>
      <c r="E11" s="18"/>
      <c r="F11" s="18"/>
      <c r="G11" s="18"/>
      <c r="H11" s="17" t="str">
        <f t="shared" si="0"/>
        <v/>
      </c>
      <c r="I11" s="17" t="str">
        <f t="shared" si="1"/>
        <v/>
      </c>
      <c r="J11" s="14" t="str">
        <f t="shared" si="2"/>
        <v/>
      </c>
    </row>
    <row r="12" spans="1:10" x14ac:dyDescent="0.4">
      <c r="A12" s="15"/>
      <c r="B12" s="18"/>
      <c r="C12" s="18"/>
      <c r="D12" s="18"/>
      <c r="E12" s="18"/>
      <c r="F12" s="18"/>
      <c r="G12" s="18"/>
      <c r="H12" s="17" t="str">
        <f t="shared" si="0"/>
        <v/>
      </c>
      <c r="I12" s="17" t="str">
        <f t="shared" si="1"/>
        <v/>
      </c>
      <c r="J12" s="14" t="str">
        <f t="shared" si="2"/>
        <v/>
      </c>
    </row>
    <row r="13" spans="1:10" x14ac:dyDescent="0.4">
      <c r="A13" s="15"/>
      <c r="B13" s="18"/>
      <c r="C13" s="18"/>
      <c r="D13" s="18"/>
      <c r="E13" s="18"/>
      <c r="F13" s="18"/>
      <c r="G13" s="18"/>
      <c r="H13" s="17" t="str">
        <f t="shared" si="0"/>
        <v/>
      </c>
      <c r="I13" s="17" t="str">
        <f t="shared" si="1"/>
        <v/>
      </c>
      <c r="J13" s="14" t="str">
        <f t="shared" si="2"/>
        <v/>
      </c>
    </row>
    <row r="14" spans="1:10" x14ac:dyDescent="0.4">
      <c r="A14" s="15"/>
      <c r="B14" s="18"/>
      <c r="C14" s="18"/>
      <c r="D14" s="18"/>
      <c r="E14" s="18"/>
      <c r="F14" s="18"/>
      <c r="G14" s="18"/>
      <c r="H14" s="17" t="str">
        <f t="shared" si="0"/>
        <v/>
      </c>
      <c r="I14" s="17" t="str">
        <f t="shared" si="1"/>
        <v/>
      </c>
      <c r="J14" s="14" t="str">
        <f t="shared" si="2"/>
        <v/>
      </c>
    </row>
    <row r="15" spans="1:10" x14ac:dyDescent="0.4">
      <c r="A15" s="15"/>
      <c r="B15" s="18"/>
      <c r="C15" s="18"/>
      <c r="D15" s="18"/>
      <c r="E15" s="18"/>
      <c r="F15" s="18"/>
      <c r="G15" s="18"/>
      <c r="H15" s="17" t="str">
        <f t="shared" si="0"/>
        <v/>
      </c>
      <c r="I15" s="17" t="str">
        <f t="shared" si="1"/>
        <v/>
      </c>
      <c r="J15" s="14" t="str">
        <f t="shared" si="2"/>
        <v/>
      </c>
    </row>
    <row r="16" spans="1:10" x14ac:dyDescent="0.4">
      <c r="A16" s="15"/>
      <c r="B16" s="18"/>
      <c r="C16" s="18"/>
      <c r="D16" s="18"/>
      <c r="E16" s="18"/>
      <c r="F16" s="18"/>
      <c r="G16" s="18"/>
      <c r="H16" s="17" t="str">
        <f t="shared" si="0"/>
        <v/>
      </c>
      <c r="I16" s="17" t="str">
        <f t="shared" si="1"/>
        <v/>
      </c>
      <c r="J16" s="14" t="str">
        <f t="shared" si="2"/>
        <v/>
      </c>
    </row>
    <row r="17" spans="1:10" x14ac:dyDescent="0.4">
      <c r="A17" s="15"/>
      <c r="B17" s="18"/>
      <c r="C17" s="18"/>
      <c r="D17" s="18"/>
      <c r="E17" s="18"/>
      <c r="F17" s="18"/>
      <c r="G17" s="18"/>
      <c r="H17" s="17" t="str">
        <f t="shared" si="0"/>
        <v/>
      </c>
      <c r="I17" s="17" t="str">
        <f t="shared" si="1"/>
        <v/>
      </c>
      <c r="J17" s="14" t="str">
        <f t="shared" si="2"/>
        <v/>
      </c>
    </row>
    <row r="18" spans="1:10" x14ac:dyDescent="0.4">
      <c r="A18" s="15"/>
      <c r="B18" s="18"/>
      <c r="C18" s="18"/>
      <c r="D18" s="18"/>
      <c r="E18" s="18"/>
      <c r="F18" s="18"/>
      <c r="G18" s="18"/>
      <c r="H18" s="17" t="str">
        <f t="shared" si="0"/>
        <v/>
      </c>
      <c r="I18" s="17" t="str">
        <f t="shared" si="1"/>
        <v/>
      </c>
      <c r="J18" s="14" t="str">
        <f t="shared" si="2"/>
        <v/>
      </c>
    </row>
    <row r="19" spans="1:10" x14ac:dyDescent="0.4">
      <c r="A19" s="15"/>
      <c r="B19" s="18"/>
      <c r="C19" s="18"/>
      <c r="D19" s="18"/>
      <c r="E19" s="18"/>
      <c r="F19" s="18"/>
      <c r="G19" s="18"/>
      <c r="H19" s="17" t="str">
        <f t="shared" si="0"/>
        <v/>
      </c>
      <c r="I19" s="17" t="str">
        <f t="shared" si="1"/>
        <v/>
      </c>
      <c r="J19" s="14" t="str">
        <f t="shared" si="2"/>
        <v/>
      </c>
    </row>
    <row r="20" spans="1:10" x14ac:dyDescent="0.4">
      <c r="A20" s="15"/>
      <c r="B20" s="18"/>
      <c r="C20" s="18"/>
      <c r="D20" s="18"/>
      <c r="E20" s="18"/>
      <c r="F20" s="18"/>
      <c r="G20" s="18"/>
      <c r="H20" s="17" t="str">
        <f t="shared" si="0"/>
        <v/>
      </c>
      <c r="I20" s="17" t="str">
        <f t="shared" si="1"/>
        <v/>
      </c>
      <c r="J20" s="14" t="str">
        <f t="shared" si="2"/>
        <v/>
      </c>
    </row>
    <row r="21" spans="1:10" x14ac:dyDescent="0.4">
      <c r="A21" s="15"/>
      <c r="B21" s="18"/>
      <c r="C21" s="18"/>
      <c r="D21" s="18"/>
      <c r="E21" s="18"/>
      <c r="F21" s="18"/>
      <c r="G21" s="18"/>
      <c r="H21" s="17" t="str">
        <f t="shared" si="0"/>
        <v/>
      </c>
      <c r="I21" s="17" t="str">
        <f t="shared" si="1"/>
        <v/>
      </c>
      <c r="J21" s="14" t="str">
        <f t="shared" si="2"/>
        <v/>
      </c>
    </row>
    <row r="22" spans="1:10" x14ac:dyDescent="0.4">
      <c r="A22" s="15"/>
      <c r="B22" s="18"/>
      <c r="C22" s="18"/>
      <c r="D22" s="18"/>
      <c r="E22" s="18"/>
      <c r="F22" s="18"/>
      <c r="G22" s="18"/>
      <c r="H22" s="17" t="str">
        <f t="shared" si="0"/>
        <v/>
      </c>
      <c r="I22" s="17" t="str">
        <f t="shared" si="1"/>
        <v/>
      </c>
      <c r="J22" s="14" t="str">
        <f t="shared" si="2"/>
        <v/>
      </c>
    </row>
    <row r="23" spans="1:10" x14ac:dyDescent="0.4">
      <c r="A23" s="15"/>
      <c r="B23" s="18"/>
      <c r="C23" s="18"/>
      <c r="D23" s="18"/>
      <c r="E23" s="18"/>
      <c r="F23" s="18"/>
      <c r="G23" s="18"/>
      <c r="H23" s="17" t="str">
        <f t="shared" si="0"/>
        <v/>
      </c>
      <c r="I23" s="17" t="str">
        <f t="shared" si="1"/>
        <v/>
      </c>
      <c r="J23" s="14" t="str">
        <f t="shared" si="2"/>
        <v/>
      </c>
    </row>
    <row r="24" spans="1:10" x14ac:dyDescent="0.4">
      <c r="A24" s="15"/>
      <c r="B24" s="18"/>
      <c r="C24" s="18"/>
      <c r="D24" s="18"/>
      <c r="E24" s="18"/>
      <c r="F24" s="18"/>
      <c r="G24" s="18"/>
      <c r="H24" s="17" t="str">
        <f t="shared" si="0"/>
        <v/>
      </c>
      <c r="I24" s="17" t="str">
        <f t="shared" si="1"/>
        <v/>
      </c>
      <c r="J24" s="14" t="str">
        <f t="shared" si="2"/>
        <v/>
      </c>
    </row>
    <row r="25" spans="1:10" x14ac:dyDescent="0.4">
      <c r="A25" s="15"/>
      <c r="B25" s="18"/>
      <c r="C25" s="18"/>
      <c r="D25" s="18"/>
      <c r="E25" s="18"/>
      <c r="F25" s="18"/>
      <c r="G25" s="18"/>
      <c r="H25" s="17" t="str">
        <f t="shared" si="0"/>
        <v/>
      </c>
      <c r="I25" s="17" t="str">
        <f t="shared" si="1"/>
        <v/>
      </c>
      <c r="J25" s="14" t="str">
        <f t="shared" si="2"/>
        <v/>
      </c>
    </row>
    <row r="26" spans="1:10" x14ac:dyDescent="0.4">
      <c r="A26" s="15"/>
      <c r="B26" s="18"/>
      <c r="C26" s="18"/>
      <c r="D26" s="18"/>
      <c r="E26" s="18"/>
      <c r="F26" s="18"/>
      <c r="G26" s="18"/>
      <c r="H26" s="17" t="str">
        <f t="shared" si="0"/>
        <v/>
      </c>
      <c r="I26" s="17" t="str">
        <f t="shared" si="1"/>
        <v/>
      </c>
      <c r="J26" s="14" t="str">
        <f t="shared" si="2"/>
        <v/>
      </c>
    </row>
    <row r="27" spans="1:10" x14ac:dyDescent="0.4">
      <c r="A27" s="15"/>
      <c r="B27" s="18"/>
      <c r="C27" s="18"/>
      <c r="D27" s="18"/>
      <c r="E27" s="18"/>
      <c r="F27" s="18"/>
      <c r="G27" s="18"/>
      <c r="H27" s="17" t="str">
        <f t="shared" si="0"/>
        <v/>
      </c>
      <c r="I27" s="17" t="str">
        <f t="shared" si="1"/>
        <v/>
      </c>
      <c r="J27" s="14" t="str">
        <f t="shared" si="2"/>
        <v/>
      </c>
    </row>
    <row r="28" spans="1:10" x14ac:dyDescent="0.4">
      <c r="A28" s="15"/>
      <c r="B28" s="18"/>
      <c r="C28" s="18"/>
      <c r="D28" s="18"/>
      <c r="E28" s="18"/>
      <c r="F28" s="18"/>
      <c r="G28" s="18"/>
      <c r="H28" s="17" t="str">
        <f t="shared" si="0"/>
        <v/>
      </c>
      <c r="I28" s="17" t="str">
        <f t="shared" si="1"/>
        <v/>
      </c>
      <c r="J28" s="14" t="str">
        <f t="shared" si="2"/>
        <v/>
      </c>
    </row>
    <row r="29" spans="1:10" x14ac:dyDescent="0.4">
      <c r="A29" s="15"/>
      <c r="B29" s="18"/>
      <c r="C29" s="18"/>
      <c r="D29" s="18"/>
      <c r="E29" s="18"/>
      <c r="F29" s="18"/>
      <c r="G29" s="18"/>
      <c r="H29" s="17" t="str">
        <f t="shared" si="0"/>
        <v/>
      </c>
      <c r="I29" s="17" t="str">
        <f t="shared" si="1"/>
        <v/>
      </c>
      <c r="J29" s="14" t="str">
        <f t="shared" si="2"/>
        <v/>
      </c>
    </row>
    <row r="30" spans="1:10" x14ac:dyDescent="0.4">
      <c r="A30" s="15"/>
      <c r="B30" s="18"/>
      <c r="C30" s="18"/>
      <c r="D30" s="18"/>
      <c r="E30" s="18"/>
      <c r="F30" s="18"/>
      <c r="G30" s="18"/>
      <c r="H30" s="17" t="str">
        <f t="shared" si="0"/>
        <v/>
      </c>
      <c r="I30" s="17" t="str">
        <f t="shared" si="1"/>
        <v/>
      </c>
      <c r="J30" s="14" t="str">
        <f t="shared" si="2"/>
        <v/>
      </c>
    </row>
    <row r="31" spans="1:10" x14ac:dyDescent="0.4">
      <c r="A31" s="15"/>
      <c r="B31" s="18"/>
      <c r="C31" s="18"/>
      <c r="D31" s="18"/>
      <c r="E31" s="18"/>
      <c r="F31" s="18"/>
      <c r="G31" s="18"/>
      <c r="H31" s="17" t="str">
        <f t="shared" si="0"/>
        <v/>
      </c>
      <c r="I31" s="17" t="str">
        <f t="shared" si="1"/>
        <v/>
      </c>
      <c r="J31" s="14" t="str">
        <f t="shared" si="2"/>
        <v/>
      </c>
    </row>
    <row r="32" spans="1:10" x14ac:dyDescent="0.4">
      <c r="A32" s="15"/>
      <c r="B32" s="18"/>
      <c r="C32" s="18"/>
      <c r="D32" s="18"/>
      <c r="E32" s="18"/>
      <c r="F32" s="18"/>
      <c r="G32" s="18"/>
      <c r="H32" s="17" t="str">
        <f t="shared" si="0"/>
        <v/>
      </c>
      <c r="I32" s="17" t="str">
        <f t="shared" si="1"/>
        <v/>
      </c>
      <c r="J32" s="14" t="str">
        <f t="shared" si="2"/>
        <v/>
      </c>
    </row>
    <row r="33" spans="1:10" x14ac:dyDescent="0.4">
      <c r="A33" s="15"/>
      <c r="B33" s="18"/>
      <c r="C33" s="18"/>
      <c r="D33" s="18"/>
      <c r="E33" s="18"/>
      <c r="F33" s="18"/>
      <c r="G33" s="18"/>
      <c r="H33" s="17" t="str">
        <f t="shared" si="0"/>
        <v/>
      </c>
      <c r="I33" s="17" t="str">
        <f t="shared" si="1"/>
        <v/>
      </c>
      <c r="J33" s="14" t="str">
        <f t="shared" si="2"/>
        <v/>
      </c>
    </row>
    <row r="34" spans="1:10" x14ac:dyDescent="0.4">
      <c r="A34" s="15"/>
      <c r="B34" s="18"/>
      <c r="C34" s="18"/>
      <c r="D34" s="18"/>
      <c r="E34" s="18"/>
      <c r="F34" s="18"/>
      <c r="G34" s="18"/>
      <c r="H34" s="17" t="str">
        <f t="shared" si="0"/>
        <v/>
      </c>
      <c r="I34" s="17" t="str">
        <f t="shared" si="1"/>
        <v/>
      </c>
      <c r="J34" s="14" t="str">
        <f t="shared" si="2"/>
        <v/>
      </c>
    </row>
    <row r="35" spans="1:10" x14ac:dyDescent="0.4">
      <c r="A35" s="15"/>
      <c r="B35" s="18"/>
      <c r="C35" s="18"/>
      <c r="D35" s="18"/>
      <c r="E35" s="18"/>
      <c r="F35" s="18"/>
      <c r="G35" s="18"/>
      <c r="H35" s="17" t="str">
        <f t="shared" si="0"/>
        <v/>
      </c>
      <c r="I35" s="17" t="str">
        <f t="shared" si="1"/>
        <v/>
      </c>
      <c r="J35" s="14" t="str">
        <f t="shared" si="2"/>
        <v/>
      </c>
    </row>
    <row r="37" spans="1:10" x14ac:dyDescent="0.4">
      <c r="A37" s="19" t="s">
        <v>158</v>
      </c>
      <c r="B37" s="8">
        <f>COUNTIF(J6:J35,"LỆCH")</f>
        <v>1</v>
      </c>
    </row>
    <row r="38" spans="1:10" x14ac:dyDescent="0.4">
      <c r="A38" s="9" t="s">
        <v>159</v>
      </c>
    </row>
  </sheetData>
  <conditionalFormatting sqref="J6:J35">
    <cfRule type="cellIs" dxfId="1" priority="2" operator="equal">
      <formula>"LỆCH"</formula>
    </cfRule>
    <cfRule type="cellIs" dxfId="0" priority="3" operator="equal">
      <formula>"Khớp"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C2"/>
    </sheetView>
  </sheetViews>
  <sheetFormatPr defaultColWidth="8.6640625" defaultRowHeight="14.4" x14ac:dyDescent="0.3"/>
  <cols>
    <col min="1" max="1" width="8" customWidth="1"/>
    <col min="2" max="2" width="56" customWidth="1"/>
    <col min="3" max="6" width="30" customWidth="1"/>
  </cols>
  <sheetData>
    <row r="1" spans="1:6" ht="22.2" x14ac:dyDescent="0.5">
      <c r="A1" s="1" t="s">
        <v>160</v>
      </c>
      <c r="B1" s="2"/>
      <c r="C1" s="2"/>
    </row>
    <row r="2" spans="1:6" ht="17.399999999999999" x14ac:dyDescent="0.4">
      <c r="A2" s="3" t="s">
        <v>161</v>
      </c>
      <c r="B2" s="2"/>
      <c r="C2" s="2"/>
    </row>
    <row r="4" spans="1:6" ht="16.8" x14ac:dyDescent="0.3">
      <c r="A4" s="10" t="s">
        <v>19</v>
      </c>
      <c r="B4" s="10" t="s">
        <v>162</v>
      </c>
      <c r="C4" s="10" t="s">
        <v>163</v>
      </c>
      <c r="D4" s="10" t="s">
        <v>164</v>
      </c>
      <c r="E4" s="10" t="s">
        <v>165</v>
      </c>
      <c r="F4" s="10" t="s">
        <v>166</v>
      </c>
    </row>
    <row r="5" spans="1:6" ht="17.399999999999999" x14ac:dyDescent="0.4">
      <c r="A5" s="12" t="s">
        <v>167</v>
      </c>
      <c r="B5" s="13"/>
      <c r="C5" s="13"/>
      <c r="D5" s="13"/>
      <c r="E5" s="13"/>
      <c r="F5" s="13"/>
    </row>
    <row r="6" spans="1:6" ht="16.8" x14ac:dyDescent="0.3">
      <c r="A6" s="14" t="s">
        <v>168</v>
      </c>
      <c r="B6" s="14" t="s">
        <v>169</v>
      </c>
      <c r="C6" s="11" t="s">
        <v>170</v>
      </c>
      <c r="D6" s="15"/>
      <c r="E6" s="15"/>
      <c r="F6" s="15"/>
    </row>
    <row r="7" spans="1:6" ht="16.8" x14ac:dyDescent="0.3">
      <c r="A7" s="14" t="s">
        <v>171</v>
      </c>
      <c r="B7" s="14" t="s">
        <v>172</v>
      </c>
      <c r="C7" s="11" t="s">
        <v>173</v>
      </c>
      <c r="D7" s="15"/>
      <c r="E7" s="15"/>
      <c r="F7" s="15"/>
    </row>
    <row r="8" spans="1:6" ht="16.8" x14ac:dyDescent="0.3">
      <c r="A8" s="14" t="s">
        <v>174</v>
      </c>
      <c r="B8" s="14" t="s">
        <v>175</v>
      </c>
      <c r="C8" s="11" t="s">
        <v>176</v>
      </c>
      <c r="D8" s="15"/>
      <c r="E8" s="15"/>
      <c r="F8" s="15"/>
    </row>
    <row r="9" spans="1:6" ht="16.8" x14ac:dyDescent="0.3">
      <c r="A9" s="14" t="s">
        <v>177</v>
      </c>
      <c r="B9" s="14" t="s">
        <v>178</v>
      </c>
      <c r="C9" s="11" t="s">
        <v>179</v>
      </c>
      <c r="D9" s="15"/>
      <c r="E9" s="15"/>
      <c r="F9" s="15"/>
    </row>
    <row r="10" spans="1:6" ht="16.8" x14ac:dyDescent="0.3">
      <c r="A10" s="14" t="s">
        <v>180</v>
      </c>
      <c r="B10" s="14" t="s">
        <v>181</v>
      </c>
      <c r="C10" s="11" t="s">
        <v>182</v>
      </c>
      <c r="D10" s="15"/>
      <c r="E10" s="15"/>
      <c r="F10" s="15"/>
    </row>
    <row r="11" spans="1:6" ht="17.399999999999999" x14ac:dyDescent="0.4">
      <c r="A11" s="12" t="s">
        <v>183</v>
      </c>
      <c r="B11" s="13"/>
      <c r="C11" s="13"/>
      <c r="D11" s="13"/>
      <c r="E11" s="13"/>
      <c r="F11" s="13"/>
    </row>
    <row r="12" spans="1:6" ht="16.8" x14ac:dyDescent="0.3">
      <c r="A12" s="14" t="s">
        <v>184</v>
      </c>
      <c r="B12" s="14" t="s">
        <v>185</v>
      </c>
      <c r="C12" s="11" t="s">
        <v>186</v>
      </c>
      <c r="D12" s="15"/>
      <c r="E12" s="15"/>
      <c r="F12" s="15"/>
    </row>
    <row r="13" spans="1:6" ht="16.8" x14ac:dyDescent="0.3">
      <c r="A13" s="14" t="s">
        <v>187</v>
      </c>
      <c r="B13" s="14" t="s">
        <v>188</v>
      </c>
      <c r="C13" s="11" t="s">
        <v>189</v>
      </c>
      <c r="D13" s="15"/>
      <c r="E13" s="15"/>
      <c r="F13" s="15"/>
    </row>
    <row r="14" spans="1:6" ht="33.6" x14ac:dyDescent="0.3">
      <c r="A14" s="14" t="s">
        <v>190</v>
      </c>
      <c r="B14" s="14" t="s">
        <v>191</v>
      </c>
      <c r="C14" s="11"/>
      <c r="D14" s="15"/>
      <c r="E14" s="15"/>
      <c r="F14" s="15"/>
    </row>
    <row r="15" spans="1:6" ht="16.8" x14ac:dyDescent="0.3">
      <c r="A15" s="14" t="s">
        <v>192</v>
      </c>
      <c r="B15" s="14" t="s">
        <v>193</v>
      </c>
      <c r="C15" s="11"/>
      <c r="D15" s="15"/>
      <c r="E15" s="15"/>
      <c r="F15" s="15"/>
    </row>
    <row r="16" spans="1:6" ht="17.399999999999999" x14ac:dyDescent="0.4">
      <c r="A16" s="12" t="s">
        <v>194</v>
      </c>
      <c r="B16" s="13"/>
      <c r="C16" s="13"/>
      <c r="D16" s="13"/>
      <c r="E16" s="13"/>
      <c r="F16" s="13"/>
    </row>
    <row r="17" spans="1:6" ht="33.6" x14ac:dyDescent="0.3">
      <c r="A17" s="14" t="s">
        <v>195</v>
      </c>
      <c r="B17" s="14" t="s">
        <v>196</v>
      </c>
      <c r="C17" s="11"/>
      <c r="D17" s="15"/>
      <c r="E17" s="15"/>
      <c r="F17" s="15"/>
    </row>
    <row r="18" spans="1:6" ht="16.8" x14ac:dyDescent="0.3">
      <c r="A18" s="14" t="s">
        <v>197</v>
      </c>
      <c r="B18" s="14" t="s">
        <v>198</v>
      </c>
      <c r="C18" s="11"/>
      <c r="D18" s="15"/>
      <c r="E18" s="15"/>
      <c r="F18" s="15"/>
    </row>
    <row r="19" spans="1:6" ht="33.6" x14ac:dyDescent="0.3">
      <c r="A19" s="14" t="s">
        <v>199</v>
      </c>
      <c r="B19" s="14" t="s">
        <v>200</v>
      </c>
      <c r="C19" s="11"/>
      <c r="D19" s="15"/>
      <c r="E19" s="15"/>
      <c r="F19" s="15"/>
    </row>
    <row r="20" spans="1:6" ht="17.399999999999999" x14ac:dyDescent="0.4">
      <c r="A20" s="12" t="s">
        <v>201</v>
      </c>
      <c r="B20" s="13"/>
      <c r="C20" s="13"/>
      <c r="D20" s="13"/>
      <c r="E20" s="13"/>
      <c r="F20" s="13"/>
    </row>
    <row r="21" spans="1:6" ht="16.8" x14ac:dyDescent="0.3">
      <c r="A21" s="14" t="s">
        <v>202</v>
      </c>
      <c r="B21" s="14" t="s">
        <v>203</v>
      </c>
      <c r="C21" s="11" t="s">
        <v>204</v>
      </c>
      <c r="D21" s="15"/>
      <c r="E21" s="15"/>
      <c r="F21" s="15"/>
    </row>
    <row r="22" spans="1:6" ht="16.8" x14ac:dyDescent="0.3">
      <c r="A22" s="14" t="s">
        <v>205</v>
      </c>
      <c r="B22" s="14" t="s">
        <v>206</v>
      </c>
      <c r="C22" s="11"/>
      <c r="D22" s="15"/>
      <c r="E22" s="15"/>
      <c r="F22" s="15"/>
    </row>
    <row r="23" spans="1:6" ht="16.8" x14ac:dyDescent="0.3">
      <c r="A23" s="14" t="s">
        <v>207</v>
      </c>
      <c r="B23" s="14" t="s">
        <v>208</v>
      </c>
      <c r="C23" s="11"/>
      <c r="D23" s="15"/>
      <c r="E23" s="15"/>
      <c r="F23" s="15"/>
    </row>
    <row r="24" spans="1:6" ht="16.8" x14ac:dyDescent="0.3">
      <c r="A24" s="14" t="s">
        <v>209</v>
      </c>
      <c r="B24" s="14" t="s">
        <v>210</v>
      </c>
      <c r="C24" s="11"/>
      <c r="D24" s="15"/>
      <c r="E24" s="15"/>
      <c r="F24" s="15"/>
    </row>
    <row r="25" spans="1:6" ht="17.399999999999999" x14ac:dyDescent="0.4">
      <c r="A25" s="12" t="s">
        <v>211</v>
      </c>
      <c r="B25" s="13"/>
      <c r="C25" s="13"/>
      <c r="D25" s="13"/>
      <c r="E25" s="13"/>
      <c r="F25" s="13"/>
    </row>
    <row r="26" spans="1:6" ht="16.8" x14ac:dyDescent="0.3">
      <c r="A26" s="14" t="s">
        <v>212</v>
      </c>
      <c r="B26" s="14" t="s">
        <v>213</v>
      </c>
      <c r="C26" s="11" t="s">
        <v>214</v>
      </c>
      <c r="D26" s="15"/>
      <c r="E26" s="15"/>
      <c r="F26" s="15"/>
    </row>
    <row r="27" spans="1:6" ht="16.8" x14ac:dyDescent="0.3">
      <c r="A27" s="14" t="s">
        <v>215</v>
      </c>
      <c r="B27" s="14" t="s">
        <v>216</v>
      </c>
      <c r="C27" s="11" t="s">
        <v>217</v>
      </c>
      <c r="D27" s="15"/>
      <c r="E27" s="15"/>
      <c r="F27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opLeftCell="A15" zoomScaleNormal="100" workbookViewId="0">
      <selection activeCell="C19" sqref="C19"/>
    </sheetView>
  </sheetViews>
  <sheetFormatPr defaultColWidth="8.6640625" defaultRowHeight="17.399999999999999" x14ac:dyDescent="0.4"/>
  <cols>
    <col min="1" max="1" width="60" style="2" customWidth="1"/>
    <col min="2" max="2" width="34" style="2" customWidth="1"/>
    <col min="3" max="3" width="14" style="2" customWidth="1"/>
    <col min="4" max="4" width="40" style="2" customWidth="1"/>
    <col min="5" max="5" width="30" style="2" customWidth="1"/>
    <col min="6" max="16384" width="8.6640625" style="2"/>
  </cols>
  <sheetData>
    <row r="1" spans="1:5" ht="22.2" x14ac:dyDescent="0.5">
      <c r="A1" s="1" t="s">
        <v>218</v>
      </c>
    </row>
    <row r="2" spans="1:5" x14ac:dyDescent="0.4">
      <c r="A2" s="3" t="s">
        <v>219</v>
      </c>
    </row>
    <row r="4" spans="1:5" x14ac:dyDescent="0.4">
      <c r="A4" s="10" t="s">
        <v>220</v>
      </c>
      <c r="B4" s="10" t="s">
        <v>221</v>
      </c>
      <c r="C4" s="10" t="s">
        <v>25</v>
      </c>
      <c r="D4" s="10" t="s">
        <v>222</v>
      </c>
      <c r="E4" s="10" t="s">
        <v>28</v>
      </c>
    </row>
    <row r="5" spans="1:5" ht="33.6" x14ac:dyDescent="0.4">
      <c r="A5" s="14" t="s">
        <v>223</v>
      </c>
      <c r="B5" s="14" t="s">
        <v>224</v>
      </c>
      <c r="C5" s="15"/>
      <c r="D5" s="15"/>
      <c r="E5" s="15"/>
    </row>
    <row r="6" spans="1:5" ht="33.6" x14ac:dyDescent="0.4">
      <c r="A6" s="14" t="s">
        <v>225</v>
      </c>
      <c r="B6" s="14" t="s">
        <v>224</v>
      </c>
      <c r="C6" s="15"/>
      <c r="D6" s="15"/>
      <c r="E6" s="15"/>
    </row>
    <row r="7" spans="1:5" x14ac:dyDescent="0.4">
      <c r="A7" s="14" t="s">
        <v>226</v>
      </c>
      <c r="B7" s="14" t="s">
        <v>227</v>
      </c>
      <c r="C7" s="15"/>
      <c r="D7" s="15"/>
      <c r="E7" s="15"/>
    </row>
    <row r="8" spans="1:5" x14ac:dyDescent="0.4">
      <c r="A8" s="14" t="s">
        <v>228</v>
      </c>
      <c r="B8" s="14" t="s">
        <v>229</v>
      </c>
      <c r="C8" s="15"/>
      <c r="D8" s="15"/>
      <c r="E8" s="15"/>
    </row>
    <row r="9" spans="1:5" x14ac:dyDescent="0.4">
      <c r="A9" s="14" t="s">
        <v>230</v>
      </c>
      <c r="B9" s="14" t="s">
        <v>231</v>
      </c>
      <c r="C9" s="15"/>
      <c r="D9" s="15"/>
      <c r="E9" s="15"/>
    </row>
    <row r="10" spans="1:5" x14ac:dyDescent="0.4">
      <c r="A10" s="15"/>
      <c r="B10" s="15"/>
      <c r="C10" s="15"/>
      <c r="D10" s="15"/>
      <c r="E10" s="15"/>
    </row>
    <row r="11" spans="1:5" x14ac:dyDescent="0.4">
      <c r="A11" s="15"/>
      <c r="B11" s="15"/>
      <c r="C11" s="15"/>
      <c r="D11" s="15"/>
      <c r="E11" s="15"/>
    </row>
    <row r="12" spans="1:5" x14ac:dyDescent="0.4">
      <c r="A12" s="15"/>
      <c r="B12" s="15"/>
      <c r="C12" s="15"/>
      <c r="D12" s="15"/>
      <c r="E12" s="15"/>
    </row>
    <row r="13" spans="1:5" x14ac:dyDescent="0.4">
      <c r="A13" s="15"/>
      <c r="B13" s="15"/>
      <c r="C13" s="15"/>
      <c r="D13" s="15"/>
      <c r="E13" s="15"/>
    </row>
    <row r="14" spans="1:5" x14ac:dyDescent="0.4">
      <c r="A14" s="15"/>
      <c r="B14" s="15"/>
      <c r="C14" s="15"/>
      <c r="D14" s="15"/>
      <c r="E14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Quy tắc nghiệp vụ</vt:lpstr>
      <vt:lpstr>Cấu trúc settlement</vt:lpstr>
      <vt:lpstr>Kiểm tra đối soát</vt:lpstr>
      <vt:lpstr>Phỏng vấn seller</vt:lpstr>
      <vt:lpstr>Nguồn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2026-10-12T07:10:36Z</dcterms:created>
  <dcterms:modified xsi:type="dcterms:W3CDTF">2026-10-12T08:35:43Z</dcterms:modified>
  <dc:language>en-US</dc:language>
</cp:coreProperties>
</file>