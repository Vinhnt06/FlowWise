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4909F6D3-576F-41DC-BEB1-45133DF54EFA}" xr6:coauthVersionLast="36" xr6:coauthVersionMax="36" xr10:uidLastSave="{00000000-0000-0000-0000-000000000000}"/>
  <bookViews>
    <workbookView minimized="1" xWindow="0" yWindow="0" windowWidth="23040" windowHeight="10284" tabRatio="671" xr2:uid="{00000000-000D-0000-FFFF-FFFF00000000}"/>
  </bookViews>
  <sheets>
    <sheet name="Đọc trước" sheetId="1" r:id="rId1"/>
    <sheet name="Phạm vi MVP" sheetId="2" r:id="rId2"/>
    <sheet name="Đầu vào" sheetId="3" r:id="rId3"/>
    <sheet name="Ánh xạ cột" sheetId="4" r:id="rId4"/>
    <sheet name="Quy tắc dữ liệu" sheetId="5" r:id="rId5"/>
    <sheet name="Mô hình dữ liệu" sheetId="6" r:id="rId6"/>
    <sheet name="Logic dự báo" sheetId="7" r:id="rId7"/>
    <sheet name="Tham số" sheetId="8" r:id="rId8"/>
    <sheet name="Ví dụ tính tay" sheetId="9" r:id="rId9"/>
    <sheet name="Kịch bản" sheetId="10" r:id="rId10"/>
    <sheet name="Đầu ra" sheetId="11" r:id="rId11"/>
    <sheet name="AI" sheetId="12" r:id="rId12"/>
    <sheet name="Test case" sheetId="13" r:id="rId13"/>
    <sheet name="Phi chức năng" sheetId="14" r:id="rId14"/>
    <sheet name="Quyết định mở" sheetId="15" r:id="rId15"/>
    <sheet name="Lộ trình" sheetId="16" r:id="rId16"/>
    <sheet name="Preset sàn" sheetId="17" r:id="rId17"/>
    <sheet name="Thuật ngữ &amp; UI copy" sheetId="18" r:id="rId1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4" i="9" l="1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B24" i="9"/>
  <c r="B23" i="9"/>
  <c r="C23" i="9" s="1"/>
  <c r="B22" i="9"/>
  <c r="B21" i="9"/>
  <c r="B20" i="9"/>
  <c r="B19" i="9"/>
  <c r="B18" i="9"/>
  <c r="C18" i="9" s="1"/>
  <c r="B17" i="9"/>
  <c r="C17" i="9" s="1"/>
  <c r="B16" i="9"/>
  <c r="C16" i="9" s="1"/>
  <c r="B15" i="9"/>
  <c r="C15" i="9" s="1"/>
  <c r="B14" i="9"/>
  <c r="C14" i="9" s="1"/>
  <c r="B13" i="9"/>
  <c r="C13" i="9" s="1"/>
  <c r="K12" i="9"/>
  <c r="D12" i="9"/>
  <c r="B12" i="9"/>
  <c r="C12" i="9" s="1"/>
  <c r="B17" i="1"/>
  <c r="B16" i="1"/>
  <c r="B15" i="1"/>
  <c r="B14" i="1"/>
  <c r="B13" i="1"/>
  <c r="B12" i="1"/>
  <c r="B11" i="1"/>
  <c r="E12" i="9" l="1"/>
  <c r="G12" i="9" s="1"/>
  <c r="M12" i="9"/>
  <c r="E13" i="9"/>
  <c r="M13" i="9"/>
  <c r="E14" i="9"/>
  <c r="M14" i="9"/>
  <c r="E15" i="9"/>
  <c r="M15" i="9"/>
  <c r="E16" i="9"/>
  <c r="M16" i="9"/>
  <c r="E17" i="9"/>
  <c r="M17" i="9"/>
  <c r="E18" i="9"/>
  <c r="M18" i="9"/>
  <c r="E23" i="9"/>
  <c r="M23" i="9"/>
  <c r="L12" i="9"/>
  <c r="N12" i="9" s="1"/>
  <c r="L13" i="9"/>
  <c r="L14" i="9"/>
  <c r="L15" i="9"/>
  <c r="L16" i="9"/>
  <c r="L17" i="9"/>
  <c r="L18" i="9"/>
  <c r="L23" i="9"/>
  <c r="F12" i="9"/>
  <c r="F13" i="9"/>
  <c r="F14" i="9"/>
  <c r="F15" i="9"/>
  <c r="F16" i="9"/>
  <c r="F17" i="9"/>
  <c r="F18" i="9"/>
  <c r="F21" i="9"/>
  <c r="F22" i="9"/>
  <c r="F23" i="9"/>
  <c r="C19" i="9"/>
  <c r="L19" i="9" s="1"/>
  <c r="C20" i="9"/>
  <c r="M20" i="9" s="1"/>
  <c r="C21" i="9"/>
  <c r="E21" i="9" s="1"/>
  <c r="C22" i="9"/>
  <c r="E22" i="9" s="1"/>
  <c r="C24" i="9"/>
  <c r="M24" i="9" s="1"/>
  <c r="P12" i="9" l="1"/>
  <c r="O12" i="9"/>
  <c r="K13" i="9"/>
  <c r="N13" i="9" s="1"/>
  <c r="Q12" i="9"/>
  <c r="H12" i="9"/>
  <c r="J12" i="9"/>
  <c r="D13" i="9"/>
  <c r="G13" i="9" s="1"/>
  <c r="F5" i="13"/>
  <c r="I12" i="9"/>
  <c r="E24" i="9"/>
  <c r="E20" i="9"/>
  <c r="M19" i="9"/>
  <c r="L22" i="9"/>
  <c r="F24" i="9"/>
  <c r="E19" i="9"/>
  <c r="M22" i="9"/>
  <c r="L24" i="9"/>
  <c r="L21" i="9"/>
  <c r="M21" i="9"/>
  <c r="L20" i="9"/>
  <c r="F20" i="9"/>
  <c r="F19" i="9"/>
  <c r="B28" i="9" l="1"/>
  <c r="H13" i="9"/>
  <c r="J13" i="9"/>
  <c r="F6" i="13"/>
  <c r="D14" i="9"/>
  <c r="G14" i="9" s="1"/>
  <c r="I13" i="9"/>
  <c r="F7" i="13" s="1"/>
  <c r="P13" i="9"/>
  <c r="O13" i="9"/>
  <c r="K14" i="9"/>
  <c r="N14" i="9" s="1"/>
  <c r="Q13" i="9"/>
  <c r="P14" i="9" l="1"/>
  <c r="O14" i="9"/>
  <c r="K15" i="9"/>
  <c r="N15" i="9" s="1"/>
  <c r="Q14" i="9"/>
  <c r="H14" i="9"/>
  <c r="J14" i="9"/>
  <c r="D15" i="9"/>
  <c r="G15" i="9" s="1"/>
  <c r="I14" i="9"/>
  <c r="P15" i="9" l="1"/>
  <c r="O15" i="9"/>
  <c r="K16" i="9"/>
  <c r="N16" i="9" s="1"/>
  <c r="Q15" i="9"/>
  <c r="H15" i="9"/>
  <c r="D16" i="9"/>
  <c r="G16" i="9" s="1"/>
  <c r="F8" i="13"/>
  <c r="J15" i="9"/>
  <c r="I15" i="9"/>
  <c r="P16" i="9" l="1"/>
  <c r="O16" i="9"/>
  <c r="K17" i="9"/>
  <c r="N17" i="9" s="1"/>
  <c r="Q16" i="9"/>
  <c r="H16" i="9"/>
  <c r="D17" i="9"/>
  <c r="G17" i="9" s="1"/>
  <c r="J16" i="9"/>
  <c r="I16" i="9"/>
  <c r="P17" i="9" l="1"/>
  <c r="O17" i="9"/>
  <c r="K18" i="9"/>
  <c r="N18" i="9" s="1"/>
  <c r="Q17" i="9"/>
  <c r="H17" i="9"/>
  <c r="D18" i="9"/>
  <c r="G18" i="9" s="1"/>
  <c r="J17" i="9"/>
  <c r="I17" i="9"/>
  <c r="P18" i="9" l="1"/>
  <c r="O18" i="9"/>
  <c r="K19" i="9"/>
  <c r="N19" i="9" s="1"/>
  <c r="Q18" i="9"/>
  <c r="H18" i="9"/>
  <c r="D19" i="9"/>
  <c r="G19" i="9" s="1"/>
  <c r="J18" i="9"/>
  <c r="I18" i="9"/>
  <c r="H19" i="9" l="1"/>
  <c r="D20" i="9"/>
  <c r="G20" i="9" s="1"/>
  <c r="J19" i="9"/>
  <c r="I19" i="9"/>
  <c r="P19" i="9"/>
  <c r="O19" i="9"/>
  <c r="K20" i="9"/>
  <c r="N20" i="9" s="1"/>
  <c r="Q19" i="9"/>
  <c r="P20" i="9" l="1"/>
  <c r="O20" i="9"/>
  <c r="K21" i="9"/>
  <c r="N21" i="9" s="1"/>
  <c r="Q20" i="9"/>
  <c r="H20" i="9"/>
  <c r="J20" i="9"/>
  <c r="D21" i="9"/>
  <c r="G21" i="9" s="1"/>
  <c r="I20" i="9"/>
  <c r="H21" i="9" l="1"/>
  <c r="J21" i="9"/>
  <c r="D22" i="9"/>
  <c r="G22" i="9" s="1"/>
  <c r="I21" i="9"/>
  <c r="P21" i="9"/>
  <c r="O21" i="9"/>
  <c r="K22" i="9"/>
  <c r="N22" i="9" s="1"/>
  <c r="Q21" i="9"/>
  <c r="H22" i="9" l="1"/>
  <c r="D23" i="9"/>
  <c r="G23" i="9" s="1"/>
  <c r="J22" i="9"/>
  <c r="I22" i="9"/>
  <c r="P22" i="9"/>
  <c r="O22" i="9"/>
  <c r="K23" i="9"/>
  <c r="N23" i="9" s="1"/>
  <c r="Q22" i="9"/>
  <c r="P23" i="9" l="1"/>
  <c r="O23" i="9"/>
  <c r="K24" i="9"/>
  <c r="N24" i="9" s="1"/>
  <c r="Q23" i="9"/>
  <c r="H23" i="9"/>
  <c r="D24" i="9"/>
  <c r="G24" i="9" s="1"/>
  <c r="J23" i="9"/>
  <c r="I23" i="9"/>
  <c r="H24" i="9" l="1"/>
  <c r="F10" i="13"/>
  <c r="J24" i="9"/>
  <c r="B30" i="9" s="1"/>
  <c r="B32" i="9"/>
  <c r="I24" i="9"/>
  <c r="B31" i="9" s="1"/>
  <c r="B29" i="9"/>
  <c r="P24" i="9"/>
  <c r="C31" i="9" s="1"/>
  <c r="O24" i="9"/>
  <c r="C32" i="9"/>
  <c r="Q24" i="9"/>
  <c r="C29" i="9"/>
  <c r="F12" i="13" s="1"/>
  <c r="C28" i="9" l="1"/>
  <c r="C30" i="9"/>
</calcChain>
</file>

<file path=xl/sharedStrings.xml><?xml version="1.0" encoding="utf-8"?>
<sst xmlns="http://schemas.openxmlformats.org/spreadsheetml/2006/main" count="2196" uniqueCount="1366">
  <si>
    <t>Sản phẩm trong 3 câu</t>
  </si>
  <si>
    <t>1. SME tự upload file số liệu (sao kê, phải thu, phải trả, chi phí định kỳ); hệ thống kiểm tra, chuẩn hóa thành các khoản tiền có ngày.</t>
  </si>
  <si>
    <t>2. Engine tính xác định số dư 13 tuần cho từng đồng tiền (VND, CNY, USD), cảnh báo tuần dưới mức an toàn và so sánh phương án xử lý.</t>
  </si>
  <si>
    <t>3. AI là trợ lý hỏi đáp: gọi engine rồi giải thích bằng tiếng Việt; AI không tự tạo ra con số.</t>
  </si>
  <si>
    <t>Luồng tổng thể</t>
  </si>
  <si>
    <t>Upload file  →  Ánh xạ cột  →  Kiểm tra dữ liệu  →  Tạo cash_event  →  Dự báo 13 tuần (mỗi đồng tiền)  →  Cảnh báo + nguyên nhân  →  Kịch bản + so sánh  →  Phê duyệt + báo cáo</t>
  </si>
  <si>
    <t>Tổng hợp tiến độ (tự cập nhật)</t>
  </si>
  <si>
    <t>Số tính năng P0</t>
  </si>
  <si>
    <t>P0 đã xong</t>
  </si>
  <si>
    <t>Số tính năng P1</t>
  </si>
  <si>
    <t>Số quy tắc dữ liệu</t>
  </si>
  <si>
    <t>Số test case</t>
  </si>
  <si>
    <t>Test đạt</t>
  </si>
  <si>
    <t>Quyết định chưa chốt</t>
  </si>
  <si>
    <t>Danh mục sheet</t>
  </si>
  <si>
    <t>Sheet</t>
  </si>
  <si>
    <t>Cho ai</t>
  </si>
  <si>
    <t>Nội dung</t>
  </si>
  <si>
    <t>Phạm vi MVP</t>
  </si>
  <si>
    <t>Cả team</t>
  </si>
  <si>
    <t>Danh sách tính năng, ưu tiên và tiêu chí xong</t>
  </si>
  <si>
    <t>Đầu vào</t>
  </si>
  <si>
    <t>Dev</t>
  </si>
  <si>
    <t>Trường nào của từng file, bắt buộc hay không, kiểm tra thế nào</t>
  </si>
  <si>
    <t>Ánh xạ cột</t>
  </si>
  <si>
    <t>Cách nhận diện cột, định dạng ngày/số, UX ánh xạ</t>
  </si>
  <si>
    <t>Quy tắc dữ liệu</t>
  </si>
  <si>
    <t>25 quy tắc kiểm tra và thông báo cho người dùng</t>
  </si>
  <si>
    <t>Mô hình dữ liệu</t>
  </si>
  <si>
    <t>Các bảng/đối tượng và trường</t>
  </si>
  <si>
    <t>Logic dự báo</t>
  </si>
  <si>
    <t>Các bước tính và nguyên tắc bất biến</t>
  </si>
  <si>
    <t>Tham số</t>
  </si>
  <si>
    <t>Business + Dev</t>
  </si>
  <si>
    <t>Giá trị mặc định của mọi tham số</t>
  </si>
  <si>
    <t>Ví dụ tính tay</t>
  </si>
  <si>
    <t>Bản Excel của engine để đối chiếu số</t>
  </si>
  <si>
    <t>Kịch bản</t>
  </si>
  <si>
    <t>Ba kịch bản mô phỏng và chỉ số so sánh</t>
  </si>
  <si>
    <t>Đầu ra</t>
  </si>
  <si>
    <t>Dev + UI</t>
  </si>
  <si>
    <t>Màn hình và nội dung báo cáo</t>
  </si>
  <si>
    <t>AI</t>
  </si>
  <si>
    <t>Tool, câu hỏi nghiệm thu, guardrail</t>
  </si>
  <si>
    <t>Test case</t>
  </si>
  <si>
    <t>Dev + Business</t>
  </si>
  <si>
    <t>Đáp án để nghiệm thu</t>
  </si>
  <si>
    <t>Phi chức năng</t>
  </si>
  <si>
    <t>Hiệu năng, bảo mật, audit</t>
  </si>
  <si>
    <t>Quyết định mở</t>
  </si>
  <si>
    <t>Business</t>
  </si>
  <si>
    <t>Những điều phải chốt trước khi code</t>
  </si>
  <si>
    <t>Lộ trình</t>
  </si>
  <si>
    <t>Kế hoạch theo ngày</t>
  </si>
  <si>
    <t>Preset sàn</t>
  </si>
  <si>
    <t>Phụ lục: đọc file Shopee/TikTok</t>
  </si>
  <si>
    <t>Thuật ngữ &amp; UI copy</t>
  </si>
  <si>
    <t>Cách gọi chung và cách viết trên giao diện</t>
  </si>
  <si>
    <t>Quy ước</t>
  </si>
  <si>
    <t>Ô nền vàng chữ xanh dương: ô cần Business/Dev điền hoặc chốt.</t>
  </si>
  <si>
    <t>Chữ xanh lá: giá trị lấy từ sheet khác. Chữ đen: nội dung cố định hoặc công thức.</t>
  </si>
  <si>
    <t>Số liệu ví dụ là dữ liệu giả lập, không phải số thật của shop nào.</t>
  </si>
  <si>
    <t>Các con số đề xuất (giới hạn file, tham số) cần dev và Business xác nhận trước khi dùng.</t>
  </si>
  <si>
    <t>Phạm vi MVP: tính năng, ưu tiên, tiêu chí nghiệm thu</t>
  </si>
  <si>
    <t>P0 = bắt buộc cho bản nộp; P1 = làm nếu kịp; P2 = để sau; KHÔNG = chủ động không làm. Cột vàng do team điền.</t>
  </si>
  <si>
    <t>ID</t>
  </si>
  <si>
    <t>Tính năng</t>
  </si>
  <si>
    <t>Mô tả</t>
  </si>
  <si>
    <t>Ưu tiên</t>
  </si>
  <si>
    <t>Phụ thuộc</t>
  </si>
  <si>
    <t>Tiêu chí nghiệm thu (dev biết khi nào xong)</t>
  </si>
  <si>
    <t>Owner</t>
  </si>
  <si>
    <t>Trạng thái</t>
  </si>
  <si>
    <t>Ghi chú</t>
  </si>
  <si>
    <t>F01</t>
  </si>
  <si>
    <t>Upload file</t>
  </si>
  <si>
    <t>Tải lên 1 hoặc nhiều file CSV/XLSX (sao kê, phải thu, phải trả, chi phí định kỳ).</t>
  </si>
  <si>
    <t>P0</t>
  </si>
  <si>
    <t>-</t>
  </si>
  <si>
    <t>Tải được file ≤ giới hạn ở sheet Phi chức năng; hiện danh sách file đã tải; xóa được file.</t>
  </si>
  <si>
    <t>Chưa làm</t>
  </si>
  <si>
    <t>F02</t>
  </si>
  <si>
    <t>Hệ thống gợi ý cột nào là ngày/số tiền/tiền tệ; người dùng xác nhận hoặc sửa. Lưu lại ánh xạ cho lần sau.</t>
  </si>
  <si>
    <t>File có tên cột lạ vẫn nhập được sau khi người dùng chọn tay; hỗ trợ cả 1 cột số tiền có dấu và 2 cột Ghi nợ/Ghi có.</t>
  </si>
  <si>
    <t>F03</t>
  </si>
  <si>
    <t>Kiểm tra dữ liệu</t>
  </si>
  <si>
    <t>Áp toàn bộ quy tắc ở sheet Quy tắc dữ liệu; hiện báo cáo lỗi theo mức Chặn/Cảnh báo/Thông tin kèm số dòng.</t>
  </si>
  <si>
    <t>Mỗi quy tắc V01–V25 có test; lỗi hiển thị số dòng và tên file; không tự xóa dữ liệu nghi trùng.</t>
  </si>
  <si>
    <t>F04</t>
  </si>
  <si>
    <t>Chuẩn hóa thành cash event</t>
  </si>
  <si>
    <t>Mọi dòng hợp lệ trở thành cash_event (ngày, số tiền có dấu, tiền tệ, loại, nguồn).</t>
  </si>
  <si>
    <t>Mỗi event truy được về file + dòng gốc; tổng event khớp tổng dòng hợp lệ.</t>
  </si>
  <si>
    <t>F05</t>
  </si>
  <si>
    <t>Thiết lập đầu kỳ</t>
  </si>
  <si>
    <t>Form nhập ngày chốt, số dư đầu kỳ và ngưỡng an toàn cho từng đồng tiền.</t>
  </si>
  <si>
    <t>Không cho dự báo khi thiếu ngày chốt hoặc số dư; ngưỡng mặc định gợi ý theo Tham số P05.</t>
  </si>
  <si>
    <t>F06</t>
  </si>
  <si>
    <t>Dự báo 13 tuần: VND</t>
  </si>
  <si>
    <t>Tính số dư cuối mỗi tuần cho VND theo sheet Logic dự báo.</t>
  </si>
  <si>
    <t>F04, F05</t>
  </si>
  <si>
    <t>Kết quả khớp sheet Ví dụ tính tay (TC01–TC06).</t>
  </si>
  <si>
    <t>F07</t>
  </si>
  <si>
    <t>Dự báo 13 tuần: CNY và USD</t>
  </si>
  <si>
    <t>Chạy cùng engine cho CNY, USD, tách biệt hoàn toàn với VND.</t>
  </si>
  <si>
    <t>P1</t>
  </si>
  <si>
    <t>TC09 đạt: đổi dữ liệu VND không làm đổi CNY/USD.</t>
  </si>
  <si>
    <t>F08</t>
  </si>
  <si>
    <t>Cảnh báo hai mức</t>
  </si>
  <si>
    <t>SHORTFALL (số dư &lt; 0) và BELOW_BUFFER (số dư &lt; ngưỡng); nêu tuần đầu tiên, khoảng thiếu, top 3 khoản gây ảnh hưởng.</t>
  </si>
  <si>
    <t>TC02–TC04, TC25 đạt; mỗi driver có link tới file/dòng.</t>
  </si>
  <si>
    <t>F09</t>
  </si>
  <si>
    <t>Kịch bản: dời khoản phải trả</t>
  </si>
  <si>
    <t>Chọn bill đủ điều kiện, dời N ngày, chạy lại forecast.</t>
  </si>
  <si>
    <t>TC07, TC08 đạt.</t>
  </si>
  <si>
    <t>F10</t>
  </si>
  <si>
    <t>Kịch bản: thu sớm</t>
  </si>
  <si>
    <t>Chọn hóa đơn phải thu, % ưu đãi, ngày thu mới.</t>
  </si>
  <si>
    <t>Số tiền thu giảm đúng theo % ưu đãi; chi phí ưu đãi hiển thị.</t>
  </si>
  <si>
    <t>F11</t>
  </si>
  <si>
    <t>Kịch bản: khoản vay giả lập</t>
  </si>
  <si>
    <t>Giải ngân + lịch trả gốc/lãi cùng đồng tiền.</t>
  </si>
  <si>
    <t>Lịch trả khớp công thức ở sheet Kịch bản; nhãn 'giả định'.</t>
  </si>
  <si>
    <t>F12</t>
  </si>
  <si>
    <t>So sánh baseline và kịch bản</t>
  </si>
  <si>
    <t>Bảng so sánh số dư thấp nhất, tuần vi phạm đầu tiên, khoảng thiếu, chi phí.</t>
  </si>
  <si>
    <t>Kịch bản rỗng ra đúng baseline (TC07).</t>
  </si>
  <si>
    <t>F13</t>
  </si>
  <si>
    <t>Hỏi đáp AI</t>
  </si>
  <si>
    <t>Khung chat gọi tool của engine và giải thích bằng tiếng Việt dễ hiểu.</t>
  </si>
  <si>
    <t>F06, F08</t>
  </si>
  <si>
    <t>TC22–TC24 đạt; mọi số trong câu trả lời có trong output của tool.</t>
  </si>
  <si>
    <t>F14</t>
  </si>
  <si>
    <t>Giả định hiển thị và chỉnh sửa</t>
  </si>
  <si>
    <t>Danh sách giả định (độ trễ thu tiền, ngưỡng) hiện trên màn hình và trong báo cáo; chỉnh được.</t>
  </si>
  <si>
    <t>Đổi giả định thì forecast tính lại; giả định lưu cùng lần chạy.</t>
  </si>
  <si>
    <t>F15</t>
  </si>
  <si>
    <t>Phê duyệt kế hoạch</t>
  </si>
  <si>
    <t>Người dùng chọn 1 phương án và bấm duyệt; lưu thời điểm và giả định.</t>
  </si>
  <si>
    <t>Có bản ghi approval; không có hành động chuyển tiền thật.</t>
  </si>
  <si>
    <t>F16</t>
  </si>
  <si>
    <t>Báo cáo PDF</t>
  </si>
  <si>
    <t>Báo cáo cho chủ shop/ngân hàng theo mục Nội dung báo cáo ở sheet Đầu ra.</t>
  </si>
  <si>
    <t>Có đủ mục B01–B08; số trên báo cáo bằng số trên màn hình.</t>
  </si>
  <si>
    <t>F17</t>
  </si>
  <si>
    <t>Gói bằng chứng</t>
  </si>
  <si>
    <t>Xuất JSON/CSV kèm hash dữ liệu đầu vào, phiên bản công thức, giả định.</t>
  </si>
  <si>
    <t>P2</t>
  </si>
  <si>
    <t>Hash khớp khi chạy lại cùng dữ liệu.</t>
  </si>
  <si>
    <t>F18</t>
  </si>
  <si>
    <t>Preset đọc file sàn</t>
  </si>
  <si>
    <t>Preset cho báo cáo đối soát Shopee/TikTok Shop (sinh event payout + hold).</t>
  </si>
  <si>
    <t>Xem sheet Preset sàn; V21 đạt.</t>
  </si>
  <si>
    <t>F19</t>
  </si>
  <si>
    <t>Dữ liệu demo + file mẫu tải về</t>
  </si>
  <si>
    <t>Bộ dữ liệu giả lập và template CSV để người dùng tải về.</t>
  </si>
  <si>
    <t>Demo chạy end-to-end bằng bộ dữ liệu này; ghi rõ là dữ liệu giả lập.</t>
  </si>
  <si>
    <t>F20</t>
  </si>
  <si>
    <t>Phân quyền 2 vai trò</t>
  </si>
  <si>
    <t>Chủ shop (duyệt) và kế toán (tải, sửa).</t>
  </si>
  <si>
    <t>Chuyển vai trò giả lập ở demo là đủ.</t>
  </si>
  <si>
    <t>F21</t>
  </si>
  <si>
    <t>Dự báo doanh thu bằng thống kê</t>
  </si>
  <si>
    <t>Ước lượng thu từ lịch sử (trung bình 4 tuần, độ trễ thu).</t>
  </si>
  <si>
    <t>Chỉ bật khi có đủ lịch sử (V24); ghi nhãn 'ước lượng'.</t>
  </si>
  <si>
    <t>F22</t>
  </si>
  <si>
    <t>Kết nối API ngân hàng/sàn</t>
  </si>
  <si>
    <t>Tự động lấy dữ liệu.</t>
  </si>
  <si>
    <t>KHÔNG</t>
  </si>
  <si>
    <t>Ngoài phạm vi MVP.</t>
  </si>
  <si>
    <t>F23</t>
  </si>
  <si>
    <t>Quy đổi tỷ giá/tổng đa tiền tệ</t>
  </si>
  <si>
    <t>Cộng VND+CNY+USD thành một số.</t>
  </si>
  <si>
    <t>Chủ động không làm: mỗi đồng tiền tách riêng.</t>
  </si>
  <si>
    <t>F24</t>
  </si>
  <si>
    <t>Tự động chuyển tiền/vay thật</t>
  </si>
  <si>
    <t>Thực hiện giao dịch.</t>
  </si>
  <si>
    <t>Chỉ mô phỏng và lập kế hoạch.</t>
  </si>
  <si>
    <t>Đặc tả file đầu vào</t>
  </si>
  <si>
    <t>SME tự upload file. Mỗi dòng là một trường: có bắt buộc không, kiểu gì, kiểm tra thế nào, sai thì xử lý ra sao.</t>
  </si>
  <si>
    <t>Loại file</t>
  </si>
  <si>
    <t>Trường</t>
  </si>
  <si>
    <t>Bắt buộc</t>
  </si>
  <si>
    <t>Kiểu</t>
  </si>
  <si>
    <t>Định dạng / ý nghĩa</t>
  </si>
  <si>
    <t>Ví dụ (minh họa)</t>
  </si>
  <si>
    <t>Quy tắc kiểm tra</t>
  </si>
  <si>
    <t>Quy tắc dữ liệu liên quan</t>
  </si>
  <si>
    <t>Ghi chú cho dev</t>
  </si>
  <si>
    <t>Sao kê ngân hàng</t>
  </si>
  <si>
    <t>date</t>
  </si>
  <si>
    <t>Có</t>
  </si>
  <si>
    <t>Ngày</t>
  </si>
  <si>
    <t>YYYY-MM-DD hoặc DD/MM/YYYY</t>
  </si>
  <si>
    <t>2026-10-06</t>
  </si>
  <si>
    <t>Parse được; không sau ngày chốt</t>
  </si>
  <si>
    <t>V04, V05, V19</t>
  </si>
  <si>
    <t>Ngày giao dịch thực tế</t>
  </si>
  <si>
    <t>amount</t>
  </si>
  <si>
    <t>Có điều kiện</t>
  </si>
  <si>
    <t>Số</t>
  </si>
  <si>
    <t>Có dấu: vào +, ra −</t>
  </si>
  <si>
    <t>-12500000</t>
  </si>
  <si>
    <t>Là số; ≠ 0</t>
  </si>
  <si>
    <t>V06, V07, V08</t>
  </si>
  <si>
    <t>Có thể thay bằng 2 cột debit/credit</t>
  </si>
  <si>
    <t>debit (Ghi nợ)</t>
  </si>
  <si>
    <t>Số ≥ 0</t>
  </si>
  <si>
    <t>Tiền ra</t>
  </si>
  <si>
    <t>12500000</t>
  </si>
  <si>
    <t>Chỉ dùng khi không có amount</t>
  </si>
  <si>
    <t>V06</t>
  </si>
  <si>
    <t>Quy đổi: amount = −debit</t>
  </si>
  <si>
    <t>credit (Ghi có)</t>
  </si>
  <si>
    <t>Tiền vào</t>
  </si>
  <si>
    <t>45000000</t>
  </si>
  <si>
    <t>Quy đổi: amount = +credit</t>
  </si>
  <si>
    <t>currency</t>
  </si>
  <si>
    <t>Không</t>
  </si>
  <si>
    <t>Mã ISO</t>
  </si>
  <si>
    <t>VND / CNY / USD</t>
  </si>
  <si>
    <t>VND</t>
  </si>
  <si>
    <t>Thuộc danh sách hỗ trợ</t>
  </si>
  <si>
    <t>V09, V10</t>
  </si>
  <si>
    <t>Thiếu thì lấy mặc định của tài khoản</t>
  </si>
  <si>
    <t>description</t>
  </si>
  <si>
    <t>Văn bản</t>
  </si>
  <si>
    <t>Tự do</t>
  </si>
  <si>
    <t>CK tien hang NCC A</t>
  </si>
  <si>
    <t>Không bắt buộc</t>
  </si>
  <si>
    <t>Hiển thị khi giải thích nguyên nhân</t>
  </si>
  <si>
    <t>balance</t>
  </si>
  <si>
    <t>Số dư sau giao dịch</t>
  </si>
  <si>
    <t>280000000</t>
  </si>
  <si>
    <t>Là số</t>
  </si>
  <si>
    <t>V18</t>
  </si>
  <si>
    <t>Chỉ để đối chiếu, không dùng làm số dư đầu kỳ</t>
  </si>
  <si>
    <t>reference_id</t>
  </si>
  <si>
    <t>Mã tham chiếu</t>
  </si>
  <si>
    <t>FT26279001</t>
  </si>
  <si>
    <t>Duy nhất nếu có</t>
  </si>
  <si>
    <t>V11</t>
  </si>
  <si>
    <t>Chống tính trùng</t>
  </si>
  <si>
    <t>Phải thu</t>
  </si>
  <si>
    <t>invoice_id</t>
  </si>
  <si>
    <t>INV-2026-014</t>
  </si>
  <si>
    <t>Duy nhất</t>
  </si>
  <si>
    <t>Khóa của khoản phải thu</t>
  </si>
  <si>
    <t>customer_alias</t>
  </si>
  <si>
    <t>Tên/ alias khách</t>
  </si>
  <si>
    <t>Khach B2B-03</t>
  </si>
  <si>
    <t>Nên là alias, không dùng tên thật khi demo</t>
  </si>
  <si>
    <t>issue_date</t>
  </si>
  <si>
    <t>như date</t>
  </si>
  <si>
    <t>2026-09-20</t>
  </si>
  <si>
    <t>Parse được</t>
  </si>
  <si>
    <t>V04</t>
  </si>
  <si>
    <t>due_date</t>
  </si>
  <si>
    <t>2026-10-25</t>
  </si>
  <si>
    <t>V04, V14, V15</t>
  </si>
  <si>
    <t>Ngày dự kiến thu (cộng độ trễ nếu có)</t>
  </si>
  <si>
    <t>Số &gt; 0</t>
  </si>
  <si>
    <t>Giá trị hóa đơn</t>
  </si>
  <si>
    <t>60000000</t>
  </si>
  <si>
    <t>&gt; 0</t>
  </si>
  <si>
    <t>open_amount</t>
  </si>
  <si>
    <t>Còn phải thu; thiếu thì = amount</t>
  </si>
  <si>
    <t>0 ≤ open ≤ amount</t>
  </si>
  <si>
    <t>V16, V17</t>
  </si>
  <si>
    <t>Xử lý thanh toán một phần</t>
  </si>
  <si>
    <t>như trên</t>
  </si>
  <si>
    <t>Thuộc danh sách</t>
  </si>
  <si>
    <t>status</t>
  </si>
  <si>
    <t>open / paid / partial</t>
  </si>
  <si>
    <t>open</t>
  </si>
  <si>
    <t>paid thì bỏ qua</t>
  </si>
  <si>
    <t>Chỉ tính khoản chưa thu</t>
  </si>
  <si>
    <t>Phải trả</t>
  </si>
  <si>
    <t>bill_id</t>
  </si>
  <si>
    <t>BILL-0087</t>
  </si>
  <si>
    <t>supplier_alias</t>
  </si>
  <si>
    <t>Alias nhà cung cấp</t>
  </si>
  <si>
    <t>NCC Quang Chau</t>
  </si>
  <si>
    <t>2026-10-22</t>
  </si>
  <si>
    <t>Ngày phải trả</t>
  </si>
  <si>
    <t>Giá trị phải trả</t>
  </si>
  <si>
    <t>130000000</t>
  </si>
  <si>
    <t>Còn phải trả</t>
  </si>
  <si>
    <t>Hóa đơn CNY phải để CNY, không quy đổi</t>
  </si>
  <si>
    <t>flexible</t>
  </si>
  <si>
    <t>Có/Không</t>
  </si>
  <si>
    <t>Có thể dời hạn không</t>
  </si>
  <si>
    <t>Y/N</t>
  </si>
  <si>
    <t>Quyết định bill nào được dùng cho kịch bản dời</t>
  </si>
  <si>
    <t>late_fee_if_known</t>
  </si>
  <si>
    <t>Phí trễ hạn nếu biết</t>
  </si>
  <si>
    <t>0</t>
  </si>
  <si>
    <t>Tính vào chi phí kịch bản dời</t>
  </si>
  <si>
    <t>Chi phí định kỳ</t>
  </si>
  <si>
    <t>name</t>
  </si>
  <si>
    <t>Tên khoản</t>
  </si>
  <si>
    <t>Luong nhan vien</t>
  </si>
  <si>
    <t>Mỗi lần</t>
  </si>
  <si>
    <t>40000000</t>
  </si>
  <si>
    <t>Nhập số dương; hệ thống tự coi là chi</t>
  </si>
  <si>
    <t>V09</t>
  </si>
  <si>
    <t>frequency</t>
  </si>
  <si>
    <t>Liệt kê</t>
  </si>
  <si>
    <t>weekly / monthly</t>
  </si>
  <si>
    <t>monthly</t>
  </si>
  <si>
    <t>Một trong hai</t>
  </si>
  <si>
    <t>Sinh event trong 13 tuần</t>
  </si>
  <si>
    <t>day</t>
  </si>
  <si>
    <t>5</t>
  </si>
  <si>
    <t>Trong khoảng hợp lệ</t>
  </si>
  <si>
    <t>Tháng không có ngày 31 thì lấy ngày cuối tháng</t>
  </si>
  <si>
    <t>start_date / end_date</t>
  </si>
  <si>
    <t>2026-01-01</t>
  </si>
  <si>
    <t>start ≤ end</t>
  </si>
  <si>
    <t>Thiết lập (form)</t>
  </si>
  <si>
    <t>as_of_date</t>
  </si>
  <si>
    <t>Ngày chốt dữ liệu</t>
  </si>
  <si>
    <t>2026-10-12</t>
  </si>
  <si>
    <t>Không ở tương lai</t>
  </si>
  <si>
    <t>V13</t>
  </si>
  <si>
    <t>Điểm bắt đầu Tuần 1</t>
  </si>
  <si>
    <t>opening_cash (mỗi tiền tệ)</t>
  </si>
  <si>
    <t>Số dư tại ngày chốt</t>
  </si>
  <si>
    <t>300000000</t>
  </si>
  <si>
    <t>Điểm xuất phát của chuỗi số dư</t>
  </si>
  <si>
    <t>minimum_cash_buffer (mỗi tiền tệ)</t>
  </si>
  <si>
    <t>Ngưỡng an toàn</t>
  </si>
  <si>
    <t>160000000</t>
  </si>
  <si>
    <t>≥ 0</t>
  </si>
  <si>
    <t>Gợi ý mặc định theo Tham số P05; người dùng sửa được</t>
  </si>
  <si>
    <t>Đối soát sàn (tùy chọn)</t>
  </si>
  <si>
    <t>settlement_id</t>
  </si>
  <si>
    <t>Có (khi dùng)</t>
  </si>
  <si>
    <t>Mã kỳ đối soát</t>
  </si>
  <si>
    <t>SP-20261006</t>
  </si>
  <si>
    <t>Xem sheet Preset sàn</t>
  </si>
  <si>
    <t>channel</t>
  </si>
  <si>
    <t>Tên kênh</t>
  </si>
  <si>
    <t>Shopee</t>
  </si>
  <si>
    <t>gross_sales</t>
  </si>
  <si>
    <t>Doanh số gộp</t>
  </si>
  <si>
    <t>platform_fee / refunds / shipping_or_COD_fee / reserve_or_hold</t>
  </si>
  <si>
    <t>Các khoản trừ, nhập số dương</t>
  </si>
  <si>
    <t>5400000 / 0 / 3600000 / 4500000</t>
  </si>
  <si>
    <t>V21</t>
  </si>
  <si>
    <t>Cột còn thiếu coi là 0 nhưng phải cảnh báo</t>
  </si>
  <si>
    <t>net_payout</t>
  </si>
  <si>
    <t>Tiền thực nhận theo sàn</t>
  </si>
  <si>
    <t>31500000</t>
  </si>
  <si>
    <t>Khớp công thức ± dung sai</t>
  </si>
  <si>
    <t>Dùng để đối soát, không thay engine tính</t>
  </si>
  <si>
    <t>expected_payout_date</t>
  </si>
  <si>
    <t>Ngày tiền về dự kiến</t>
  </si>
  <si>
    <t>2026-10-15</t>
  </si>
  <si>
    <t>Ngày của event payout</t>
  </si>
  <si>
    <t>actual_payout_date</t>
  </si>
  <si>
    <t>Ngày tiền thật sự về</t>
  </si>
  <si>
    <t>Dùng để ước lượng độ trễ (F21)</t>
  </si>
  <si>
    <t>Khoản vay (tùy chọn)</t>
  </si>
  <si>
    <t>loan_id / balance / annual_rate / payment_amount / next_due_date / currency</t>
  </si>
  <si>
    <t>Hỗn hợp</t>
  </si>
  <si>
    <t>Khoản vay hiện có</t>
  </si>
  <si>
    <t>L01 / 500000000 / 0.11 / 15000000 / 2026-10-30 / VND</t>
  </si>
  <si>
    <t>Số hợp lệ</t>
  </si>
  <si>
    <t>Sinh event trả nợ định kỳ</t>
  </si>
  <si>
    <t>Ví dụ dữ liệu là số minh họa. Mức độ 'Bắt buộc' là đề xuất, dev đối chiếu với F03 và Quy tắc dữ liệu trước khi code.</t>
  </si>
  <si>
    <t>Ánh xạ cột và định dạng file thực tế</t>
  </si>
  <si>
    <t>A. Từ khóa gợi ý nhận diện cột (đề xuất, cần kiểm chứng với file thật của seller)</t>
  </si>
  <si>
    <t>Trường chuẩn</t>
  </si>
  <si>
    <t>Từ khóa tên cột thường gặp</t>
  </si>
  <si>
    <t>ngày, ngày giao dịch, ngày gd, ngày hạch toán, date, transaction date, posting date</t>
  </si>
  <si>
    <t>So khớp không phân biệt hoa thường, bỏ dấu</t>
  </si>
  <si>
    <t>số tiền, giá trị, amount, value</t>
  </si>
  <si>
    <t>Cột có dấu hoặc không dấu</t>
  </si>
  <si>
    <t>debit</t>
  </si>
  <si>
    <t>ghi nợ, số tiền ghi nợ, tiền ra, rút, debit, withdrawal</t>
  </si>
  <si>
    <t>credit</t>
  </si>
  <si>
    <t>ghi có, số tiền ghi có, tiền vào, nộp, credit, deposit</t>
  </si>
  <si>
    <t>nội dung, diễn giải, mô tả, nội dung giao dịch, description, memo, narrative</t>
  </si>
  <si>
    <t>số dư, số dư cuối, balance, running balance</t>
  </si>
  <si>
    <t>tiền tệ, loại tiền, đơn vị tiền, currency, ccy</t>
  </si>
  <si>
    <t>mã giao dịch, số tham chiếu, mã tham chiếu, reference, ref no</t>
  </si>
  <si>
    <t>hạn thanh toán, ngày đến hạn, hạn trả, due date</t>
  </si>
  <si>
    <t>Phải thu / phải trả</t>
  </si>
  <si>
    <t>invoice_id / bill_id</t>
  </si>
  <si>
    <t>số hóa đơn, mã hóa đơn, số chứng từ, invoice no, bill no</t>
  </si>
  <si>
    <t>B. Định dạng cần hỗ trợ khi đọc</t>
  </si>
  <si>
    <t>Chủ đề</t>
  </si>
  <si>
    <t>Cần hỗ trợ</t>
  </si>
  <si>
    <t>Cách xử lý</t>
  </si>
  <si>
    <t>DD/MM/YYYY, YYYY-MM-DD, DD-MM-YYYY, ngày dạng số của Excel</t>
  </si>
  <si>
    <t>Nếu cột có giá trị mơ hồ như 03/04/2026 thì hỏi người dùng chọn DD/MM hay MM/DD cho cả cột (V05). Mặc định DD/MM/YYYY.</t>
  </si>
  <si>
    <t>Số tiền</t>
  </si>
  <si>
    <t>1.234.567,89 (kiểu VN) và 1,234,567.89 (kiểu Mỹ); số âm bằng dấu − hoặc ngoặc (1.000); có hậu tố đ/VND</t>
  </si>
  <si>
    <t>Tự đoán dấu phân cách từ cả cột; mơ hồ thì hỏi người dùng (V08).</t>
  </si>
  <si>
    <t>Mã hóa file</t>
  </si>
  <si>
    <t>UTF-8, UTF-8 có BOM; CSV phân cách bằng dấu phẩy hoặc chấm phẩy</t>
  </si>
  <si>
    <t>Đọc đúng tiếng Việt có dấu.</t>
  </si>
  <si>
    <t>Excel</t>
  </si>
  <si>
    <t>Nhiều sheet; dòng tiêu đề không nằm ở dòng 1; có dòng tổng cuối; ô gộp</t>
  </si>
  <si>
    <t>Cho chọn sheet và dòng tiêu đề (V02); bỏ dòng tổng.</t>
  </si>
  <si>
    <t>Kích thước</t>
  </si>
  <si>
    <t>Theo giới hạn ở sheet Phi chức năng</t>
  </si>
  <si>
    <t>Quá lớn thì chặn và gợi ý chia nhỏ (V22).</t>
  </si>
  <si>
    <t>C. Luồng trải nghiệm ánh xạ (UX)</t>
  </si>
  <si>
    <t>Bước</t>
  </si>
  <si>
    <t>Người dùng / hệ thống làm gì</t>
  </si>
  <si>
    <t>1</t>
  </si>
  <si>
    <t>Người dùng chọn loại file (sao kê / phải thu / phải trả / chi phí định kỳ)</t>
  </si>
  <si>
    <t>Quyết định danh sách trường chuẩn cần ánh xạ</t>
  </si>
  <si>
    <t>2</t>
  </si>
  <si>
    <t>Hệ thống đọc 20 dòng đầu, đoán dòng tiêu đề và gợi ý ánh xạ cột</t>
  </si>
  <si>
    <t>Dùng từ khóa ở mục A</t>
  </si>
  <si>
    <t>3</t>
  </si>
  <si>
    <t>Hiển thị bảng: cột trong file → trường chuẩn, kèm 3 dòng xem trước; người dùng sửa</t>
  </si>
  <si>
    <t>Trường bắt buộc chưa ánh xạ thì không cho tiếp tục (V03)</t>
  </si>
  <si>
    <t>4</t>
  </si>
  <si>
    <t>Chọn định dạng ngày và số nếu hệ thống chưa chắc</t>
  </si>
  <si>
    <t>V05, V08</t>
  </si>
  <si>
    <t>Chạy kiểm tra, hiện báo cáo lỗi theo mức độ</t>
  </si>
  <si>
    <t>Xem sheet Quy tắc dữ liệu</t>
  </si>
  <si>
    <t>6</t>
  </si>
  <si>
    <t>Người dùng xác nhận; hệ thống lưu ánh xạ để dùng lại với file cùng cấu trúc</t>
  </si>
  <si>
    <t>Giảm thao tác cho lần sau</t>
  </si>
  <si>
    <t>Quy tắc kiểm tra dữ liệu</t>
  </si>
  <si>
    <t>Mức độ: CHẶN = không cho tiếp tục; CẢNH BÁO = vẫn chạy nhưng báo rõ; THÔNG TIN = ghi nhận. Nguyên tắc: không tự xóa, không tự đoán.</t>
  </si>
  <si>
    <t>Quy tắc</t>
  </si>
  <si>
    <t>Mức độ</t>
  </si>
  <si>
    <t>Hệ thống làm gì</t>
  </si>
  <si>
    <t>Thông báo cho người dùng (tiếng Việt)</t>
  </si>
  <si>
    <t>Test liên quan</t>
  </si>
  <si>
    <t>V01</t>
  </si>
  <si>
    <t>File không đọc được hoặc sai định dạng</t>
  </si>
  <si>
    <t>CHẶN</t>
  </si>
  <si>
    <t>Dừng, không lưu</t>
  </si>
  <si>
    <t>Không đọc được file này. Hãy dùng CSV hoặc XLSX.</t>
  </si>
  <si>
    <t>TC18</t>
  </si>
  <si>
    <t>V02</t>
  </si>
  <si>
    <t>Không tìm thấy dòng tiêu đề</t>
  </si>
  <si>
    <t>CẢNH BÁO</t>
  </si>
  <si>
    <t>Cho người dùng chọn dòng tiêu đề</t>
  </si>
  <si>
    <t>Chưa nhận ra dòng tiêu đề. Bạn chọn dòng nào là tiêu đề?</t>
  </si>
  <si>
    <t>V03</t>
  </si>
  <si>
    <t>Trường bắt buộc chưa được ánh xạ</t>
  </si>
  <si>
    <t>Không cho sang bước sau</t>
  </si>
  <si>
    <t>Cần chọn cột cho: {tên trường}.</t>
  </si>
  <si>
    <t>Ngày không đọc được</t>
  </si>
  <si>
    <t>Loại dòng khỏi tính toán, liệt kê số dòng</t>
  </si>
  <si>
    <t>{n} dòng có ngày không hợp lệ nên chưa được tính.</t>
  </si>
  <si>
    <t>V05</t>
  </si>
  <si>
    <t>Ngày mơ hồ (DD/MM hay MM/DD)</t>
  </si>
  <si>
    <t>Hỏi người dùng, áp cho cả cột</t>
  </si>
  <si>
    <t>Cột ngày có thể hiểu theo 2 cách. Bạn chọn định dạng đúng.</t>
  </si>
  <si>
    <t>TC12</t>
  </si>
  <si>
    <t>Số tiền không đọc được</t>
  </si>
  <si>
    <t>Loại dòng, liệt kê</t>
  </si>
  <si>
    <t>{n} dòng có số tiền không hợp lệ nên chưa được tính.</t>
  </si>
  <si>
    <t>V07</t>
  </si>
  <si>
    <t>Số tiền bằng 0</t>
  </si>
  <si>
    <t>THÔNG TIN</t>
  </si>
  <si>
    <t>Bỏ qua dòng</t>
  </si>
  <si>
    <t>{n} dòng có số tiền 0 đã được bỏ qua.</t>
  </si>
  <si>
    <t>V08</t>
  </si>
  <si>
    <t>Dấu phân cách số mơ hồ</t>
  </si>
  <si>
    <t>Hỏi người dùng xác nhận kiểu số</t>
  </si>
  <si>
    <t>Số tiền có thể viết theo 2 kiểu. Bạn chọn kiểu đúng.</t>
  </si>
  <si>
    <t>TC13</t>
  </si>
  <si>
    <t>Thiếu tiền tệ</t>
  </si>
  <si>
    <t>Dùng tiền tệ mặc định của tài khoản; nếu file nhiều tiền tệ không rõ thì CHẶN cột</t>
  </si>
  <si>
    <t>Chưa có cột tiền tệ nên coi là {mặc định}.</t>
  </si>
  <si>
    <t>V10</t>
  </si>
  <si>
    <t>Mã tiền tệ ngoài VND/CNY/USD</t>
  </si>
  <si>
    <t>Không đưa vào forecast (MVP)</t>
  </si>
  <si>
    <t>Tiền tệ {x} chưa được hỗ trợ nên các dòng này chưa tính.</t>
  </si>
  <si>
    <t>Trùng mã (invoice_id, bill_id, settlement_id, reference_id)</t>
  </si>
  <si>
    <t>Gắn cờ nghi trùng, KHÔNG tự xóa, hỏi người dùng giữ dòng nào</t>
  </si>
  <si>
    <t>Có {n} mã bị lặp. Bạn xem và chọn giữ dòng nào.</t>
  </si>
  <si>
    <t>TC11</t>
  </si>
  <si>
    <t>V12</t>
  </si>
  <si>
    <t>Dòng giống hệt (ngày, số tiền, mô tả) nhưng không có mã</t>
  </si>
  <si>
    <t>Gắn cờ 'có thể trùng', vẫn tính cả hai cho đến khi người dùng quyết</t>
  </si>
  <si>
    <t>Có {n} dòng giống nhau. Có thể bị tải trùng.</t>
  </si>
  <si>
    <t>Ngày chốt thiếu hoặc ở tương lai</t>
  </si>
  <si>
    <t>Yêu cầu nhập</t>
  </si>
  <si>
    <t>Cần ngày chốt số liệu (không sau hôm nay).</t>
  </si>
  <si>
    <t>V14</t>
  </si>
  <si>
    <t>Khoản đến hạn trước ngày chốt nhưng còn mở</t>
  </si>
  <si>
    <t>Đặt vào Tuần 1 và gắn nhãn 'quá hạn' (đề xuất, xem D05)</t>
  </si>
  <si>
    <t>{n} khoản đã quá hạn, được tính vào Tuần 1.</t>
  </si>
  <si>
    <t>TC16</t>
  </si>
  <si>
    <t>V15</t>
  </si>
  <si>
    <t>Khoản ngoài 13 tuần</t>
  </si>
  <si>
    <t>Không tính, vẫn lưu</t>
  </si>
  <si>
    <t>{n} khoản nằm ngoài 13 tuần tới nên chưa tính.</t>
  </si>
  <si>
    <t>TC17</t>
  </si>
  <si>
    <t>V16</t>
  </si>
  <si>
    <t>open_amount lớn hơn amount</t>
  </si>
  <si>
    <t>Loại dòng</t>
  </si>
  <si>
    <t>Dòng {x}: số còn lại lớn hơn số gốc.</t>
  </si>
  <si>
    <t>V17</t>
  </si>
  <si>
    <t>open_amount âm</t>
  </si>
  <si>
    <t>Dòng {x}: số còn lại bị âm.</t>
  </si>
  <si>
    <t>Số dư trong file lệch số dư tính lại</t>
  </si>
  <si>
    <t>Hiển thị chênh lệch, không sửa</t>
  </si>
  <si>
    <t>Số dư trong file khác số dư tính lại {x}. Kiểm tra file thiếu dòng.</t>
  </si>
  <si>
    <t>TC19</t>
  </si>
  <si>
    <t>V19</t>
  </si>
  <si>
    <t>Giao dịch ngân hàng có ngày sau ngày chốt</t>
  </si>
  <si>
    <t>Không coi là đã xảy ra</t>
  </si>
  <si>
    <t>{n} dòng có ngày sau ngày chốt.</t>
  </si>
  <si>
    <t>V20</t>
  </si>
  <si>
    <t>Event khác tiền tệ với tài khoản/ cài đặt</t>
  </si>
  <si>
    <t>Đưa vào hàng đợi 'cần xử lý thủ công', không cộng</t>
  </si>
  <si>
    <t>{n} khoản khác tiền tệ nên chưa được cộng vào dự báo.</t>
  </si>
  <si>
    <t>TC10</t>
  </si>
  <si>
    <t>Net payout không khớp công thức (preset sàn)</t>
  </si>
  <si>
    <t>Hiển thị số lệch và dòng gốc</t>
  </si>
  <si>
    <t>Dòng {x}: tiền thực nhận lệch {y} so với tính lại.</t>
  </si>
  <si>
    <t>TC20</t>
  </si>
  <si>
    <t>V22</t>
  </si>
  <si>
    <t>File vượt giới hạn kích thước/số dòng</t>
  </si>
  <si>
    <t>Gợi ý chia nhỏ</t>
  </si>
  <si>
    <t>File quá lớn. Hãy chia theo tháng rồi tải lại.</t>
  </si>
  <si>
    <t>TC26</t>
  </si>
  <si>
    <t>V23</t>
  </si>
  <si>
    <t>Ô chứa lỗi công thức Excel (ô hiển thị mã lỗi thay vì giá trị)</t>
  </si>
  <si>
    <t>Coi như thiếu giá trị</t>
  </si>
  <si>
    <t>{n} ô bị lỗi công thức nên chưa đọc được.</t>
  </si>
  <si>
    <t>V24</t>
  </si>
  <si>
    <t>Lịch sử ít hơn số tuần tối thiểu để ước lượng thống kê</t>
  </si>
  <si>
    <t>Tắt F21, nói rõ lý do</t>
  </si>
  <si>
    <t>Chưa đủ lịch sử để ước lượng doanh thu; chỉ dùng các khoản đã biết.</t>
  </si>
  <si>
    <t>V25</t>
  </si>
  <si>
    <t>Hai file có khoảng ngày chồng lấn</t>
  </si>
  <si>
    <t>Nhắc kiểm tra tải trùng</t>
  </si>
  <si>
    <t>Hai file có ngày trùng nhau. Có thể bị tính hai lần.</t>
  </si>
  <si>
    <t>Mô hình dữ liệu (các bảng/đối tượng cần có)</t>
  </si>
  <si>
    <t>Mọi thứ xoay quanh cash_event. Tên trường là đề xuất để cả team dùng thống nhất.</t>
  </si>
  <si>
    <t>Đối tượng</t>
  </si>
  <si>
    <t>Ví dụ</t>
  </si>
  <si>
    <t>cash_event</t>
  </si>
  <si>
    <t>event_id</t>
  </si>
  <si>
    <t>Mã duy nhất của khoản tiền</t>
  </si>
  <si>
    <t>E05</t>
  </si>
  <si>
    <t>Ngày tiền vào/ra (dự kiến hoặc thực tế)</t>
  </si>
  <si>
    <t>-130000000</t>
  </si>
  <si>
    <t>type</t>
  </si>
  <si>
    <t>bank / receivable / payable / recurring / settlement / hold_release / loan</t>
  </si>
  <si>
    <t>payable</t>
  </si>
  <si>
    <t>actual (đã xảy ra) hoặc expected (dự kiến)</t>
  </si>
  <si>
    <t>expected</t>
  </si>
  <si>
    <t>Mô tả hiển thị cho người dùng</t>
  </si>
  <si>
    <t>Thanh toán NCC</t>
  </si>
  <si>
    <t>source_file / source_row</t>
  </si>
  <si>
    <t>Văn bản / Số</t>
  </si>
  <si>
    <t>Truy vết về file và dòng gốc</t>
  </si>
  <si>
    <t>bill.csv / 12</t>
  </si>
  <si>
    <t>Boolean</t>
  </si>
  <si>
    <t>Cho phép dời ngày trong kịch bản</t>
  </si>
  <si>
    <t>true</t>
  </si>
  <si>
    <t>assumption_note</t>
  </si>
  <si>
    <t>Giải thích nếu ngày/số tiền là giả định</t>
  </si>
  <si>
    <t>Trễ 3 ngày theo giả định</t>
  </si>
  <si>
    <t>source_file</t>
  </si>
  <si>
    <t>file_id / filename / uploaded_at / row_count / mapping_json</t>
  </si>
  <si>
    <t>Thông tin file và ánh xạ cột đã dùng</t>
  </si>
  <si>
    <t>data_issue</t>
  </si>
  <si>
    <t>issue_id / rule_id / severity / file_id / row / message</t>
  </si>
  <si>
    <t>Mỗi lỗi/cảnh báo phát hiện (Quy tắc dữ liệu)</t>
  </si>
  <si>
    <t>forecast_run</t>
  </si>
  <si>
    <t>run_id / as_of_date / currency / data_hash / formula_version / created_at</t>
  </si>
  <si>
    <t>Một lần chạy dự báo, để audit và so sánh</t>
  </si>
  <si>
    <t>week_result</t>
  </si>
  <si>
    <t>run_id / week_no / start / end / opening / inflow / outflow / closing / status / gap</t>
  </si>
  <si>
    <t>Kết quả từng tuần của một run</t>
  </si>
  <si>
    <t>alert</t>
  </si>
  <si>
    <t>run_id / currency / level / first_week / closing / buffer / gap / drivers[]</t>
  </si>
  <si>
    <t>Cảnh báo; drivers là top 3 event kèm source_file/row</t>
  </si>
  <si>
    <t>scenario</t>
  </si>
  <si>
    <t>scenario_id / type / params_json / base_run_id</t>
  </si>
  <si>
    <t>Kịch bản: dời trả, thu sớm, vay</t>
  </si>
  <si>
    <t>scenario_change</t>
  </si>
  <si>
    <t>scenario_id / event_id / field / old_value / new_value</t>
  </si>
  <si>
    <t>Các thay đổi lên event (kịch bản = biến đổi danh sách event)</t>
  </si>
  <si>
    <t>approval</t>
  </si>
  <si>
    <t>run_id / scenario_id / approved_by / approved_at / assumptions_snapshot</t>
  </si>
  <si>
    <t>Quyết định phê duyệt</t>
  </si>
  <si>
    <t>Logic dự báo: từ file đến số dư 13 tuần</t>
  </si>
  <si>
    <t>Engine tính bằng phép cộng trừ xác định. AI không tự tính. Sheet Ví dụ tính tay là bản Excel của chính logic này để dev đối chiếu.</t>
  </si>
  <si>
    <t>A. Ba tầng 'dự báo' (nói rõ để dev không gộp lại thành 'AI predict')</t>
  </si>
  <si>
    <t>Tầng</t>
  </si>
  <si>
    <t>Tên</t>
  </si>
  <si>
    <t>Cách làm</t>
  </si>
  <si>
    <t>Tầng 1</t>
  </si>
  <si>
    <t>Chắc chắn / đã biết ngày</t>
  </si>
  <si>
    <t>Hóa đơn phải thu/trả, lương, tiền thuê, trả nợ, payout đã có lịch</t>
  </si>
  <si>
    <t>Phép tính xác định, không học từ dữ liệu</t>
  </si>
  <si>
    <t>Tầng 2</t>
  </si>
  <si>
    <t>Ước lượng thống kê</t>
  </si>
  <si>
    <t>Doanh thu tuần tới ≈ trung bình 4 tuần gần nhất; độ trễ thu trung bình; % hoàn/huỷ</t>
  </si>
  <si>
    <t>Thống kê đơn giản trên lịch sử, hiển thị nhãn 'ước lượng', chỉ bật khi đủ dữ liệu (V24)</t>
  </si>
  <si>
    <t>Tầng 3</t>
  </si>
  <si>
    <t>AI (LLM)</t>
  </si>
  <si>
    <t>Hiểu câu hỏi, gọi tool, giải thích kết quả bằng tiếng Việt</t>
  </si>
  <si>
    <t>Không sinh ra số mới; chỉ đọc output của engine</t>
  </si>
  <si>
    <t>B. Các bước xử lý</t>
  </si>
  <si>
    <t>Xử lý</t>
  </si>
  <si>
    <t>Quy tắc/Test liên quan</t>
  </si>
  <si>
    <t>S01</t>
  </si>
  <si>
    <t>Nhận file</t>
  </si>
  <si>
    <t>File upload</t>
  </si>
  <si>
    <t>Đọc CSV/XLSX, giữ source_file và source_row cho từng dòng</t>
  </si>
  <si>
    <t>Bảng dòng thô</t>
  </si>
  <si>
    <t>V01, V22, V23</t>
  </si>
  <si>
    <t>S02</t>
  </si>
  <si>
    <t>Dòng thô + ánh xạ</t>
  </si>
  <si>
    <t>Đổi tên cột theo ánh xạ người dùng xác nhận; quy đổi debit/credit thành amount có dấu</t>
  </si>
  <si>
    <t>Bảng đã chuẩn hóa tên cột</t>
  </si>
  <si>
    <t>V02, V03</t>
  </si>
  <si>
    <t>S03</t>
  </si>
  <si>
    <t>Kiểm tra</t>
  </si>
  <si>
    <t>Bảng chuẩn hóa</t>
  </si>
  <si>
    <t>Áp V04–V25; dòng không hợp lệ không đi tiếp</t>
  </si>
  <si>
    <t>Dòng hợp lệ + danh sách data_issue</t>
  </si>
  <si>
    <t>V04–V19</t>
  </si>
  <si>
    <t>S04</t>
  </si>
  <si>
    <t>Tạo cash_event</t>
  </si>
  <si>
    <t>Dòng hợp lệ</t>
  </si>
  <si>
    <t>Sao kê → actual (chỉ làm lịch sử). Phải thu → expected, date = due_date + độ trễ. Phải trả → expected, date = due_date. Chi phí định kỳ → sinh theo lịch trong 13 tuần. Đối soát sàn → event payout (+ event hold_release nếu có hold). Khoản vay hiện có → event trả nợ.</t>
  </si>
  <si>
    <t>Danh sách cash_event</t>
  </si>
  <si>
    <t>V14, V15</t>
  </si>
  <si>
    <t>S05</t>
  </si>
  <si>
    <t>Tách theo tiền tệ</t>
  </si>
  <si>
    <t>Chia thành nhóm VND, CNY, USD; event khác tiền tệ tài khoản vào hàng đợi thủ công; KHÔNG quy đổi, KHÔNG cộng chéo</t>
  </si>
  <si>
    <t>3 danh sách độc lập</t>
  </si>
  <si>
    <t>S06</t>
  </si>
  <si>
    <t>Xác định tuần</t>
  </si>
  <si>
    <t>Tuần n bắt đầu = as_of + 7×(n−1), kết thúc = bắt đầu + 6 (n = 1..13). Tuần 1 bắt đầu đúng ngày chốt</t>
  </si>
  <si>
    <t>13 khoảng ngày</t>
  </si>
  <si>
    <t>D04</t>
  </si>
  <si>
    <t>S07</t>
  </si>
  <si>
    <t>Gom theo tuần</t>
  </si>
  <si>
    <t>cash_event, 13 tuần</t>
  </si>
  <si>
    <t>inflow[w] = tổng amount &gt; 0 có date trong tuần w; outflow[w] = tổng amount &lt; 0 (số âm)</t>
  </si>
  <si>
    <t>inflow, outflow mỗi tuần</t>
  </si>
  <si>
    <t>S08</t>
  </si>
  <si>
    <t>Chuỗi số dư</t>
  </si>
  <si>
    <t>opening_cash, inflow, outflow</t>
  </si>
  <si>
    <t>opening[1] = opening_cash; closing[w] = opening[w] + inflow[w] + outflow[w]; opening[w+1] = closing[w]</t>
  </si>
  <si>
    <t>opening, closing mỗi tuần</t>
  </si>
  <si>
    <t>TC05, TC06</t>
  </si>
  <si>
    <t>S09</t>
  </si>
  <si>
    <t>Cảnh báo</t>
  </si>
  <si>
    <t>closing, buffer</t>
  </si>
  <si>
    <t>closing &lt; 0 → SHORTFALL; closing &lt; buffer → BELOW_BUFFER (so sánh nhỏ hơn hẳn, bằng ngưỡng thì không cảnh báo); gap = max(0, buffer − closing); drivers = 3 event có |amount| lớn nhất trong tuần đó</t>
  </si>
  <si>
    <t>alert + drivers</t>
  </si>
  <si>
    <t>TC02–TC04, TC25</t>
  </si>
  <si>
    <t>S10</t>
  </si>
  <si>
    <t>Ước lượng thống kê (P1)</t>
  </si>
  <si>
    <t>Lịch sử bank/settlement</t>
  </si>
  <si>
    <t>Trung bình 4 tuần gần nhất cho thu từ bán hàng; độ trễ thu trung bình; chỉ khi đủ dữ liệu</t>
  </si>
  <si>
    <t>Event expected có nhãn 'ước lượng'</t>
  </si>
  <si>
    <t>S11</t>
  </si>
  <si>
    <t>Event + tham số kịch bản</t>
  </si>
  <si>
    <t>Sao chép danh sách event, biến đổi theo loại kịch bản (sheet Kịch bản), chạy lại S06–S09</t>
  </si>
  <si>
    <t>Run kịch bản</t>
  </si>
  <si>
    <t>TC07, TC08</t>
  </si>
  <si>
    <t>S12</t>
  </si>
  <si>
    <t>So sánh và lưu</t>
  </si>
  <si>
    <t>Các run</t>
  </si>
  <si>
    <t>Lưu run: data_hash, formula_version, giả định; so sánh baseline với kịch bản</t>
  </si>
  <si>
    <t>Bảng so sánh</t>
  </si>
  <si>
    <t>C. Nguyên tắc bất biến (dev nên viết test cho từng điều này)</t>
  </si>
  <si>
    <t>Nguyên tắc</t>
  </si>
  <si>
    <t>Test</t>
  </si>
  <si>
    <t>N1</t>
  </si>
  <si>
    <t>Mọi khoản tiền đi qua cash_event; không có đường tính số nào khác</t>
  </si>
  <si>
    <t>N2</t>
  </si>
  <si>
    <t>closing[w] = opening[w+1] với mọi w</t>
  </si>
  <si>
    <t>TC05</t>
  </si>
  <si>
    <t>N3</t>
  </si>
  <si>
    <t>Kịch bản rỗng cho đúng baseline</t>
  </si>
  <si>
    <t>TC07</t>
  </si>
  <si>
    <t>N4</t>
  </si>
  <si>
    <t>Đổi dữ liệu của một đồng tiền không làm đổi kết quả đồng tiền khác</t>
  </si>
  <si>
    <t>TC09</t>
  </si>
  <si>
    <t>N5</t>
  </si>
  <si>
    <t>Tổng inflow + outflow 13 tuần = closing[13] − opening_cash</t>
  </si>
  <si>
    <t>TC06</t>
  </si>
  <si>
    <t>N6</t>
  </si>
  <si>
    <t>Không cộng số khác tiền tệ ở bất kỳ bước nào</t>
  </si>
  <si>
    <t>N7</t>
  </si>
  <si>
    <t>Cùng input và cùng phiên bản công thức thì cùng output</t>
  </si>
  <si>
    <t>Tham số và giả định của hệ thống</t>
  </si>
  <si>
    <t>Cột vàng là giá trị đề xuất, team chốt rồi dev cấu hình. Mọi tham số có ảnh hưởng đến kết quả phải hiện trên màn hình/báo cáo.</t>
  </si>
  <si>
    <t>Giá trị đề xuất</t>
  </si>
  <si>
    <t>Đơn vị</t>
  </si>
  <si>
    <t>Ai chỉnh được</t>
  </si>
  <si>
    <t>Dùng ở đâu / ghi chú</t>
  </si>
  <si>
    <t>P01</t>
  </si>
  <si>
    <t>forecast_horizon_weeks</t>
  </si>
  <si>
    <t>tuần</t>
  </si>
  <si>
    <t>Cố định</t>
  </si>
  <si>
    <t>Số tuần dự báo</t>
  </si>
  <si>
    <t>P02</t>
  </si>
  <si>
    <t>week_start</t>
  </si>
  <si>
    <t>Ngày chốt (as_of)</t>
  </si>
  <si>
    <t>Tuần 1 bắt đầu đúng as_of_date (xem D04)</t>
  </si>
  <si>
    <t>P03</t>
  </si>
  <si>
    <t>supported_currencies</t>
  </si>
  <si>
    <t>VND, CNY, USD</t>
  </si>
  <si>
    <t>Mã khác bị loại (V10)</t>
  </si>
  <si>
    <t>P04</t>
  </si>
  <si>
    <t>reconcile_tolerance</t>
  </si>
  <si>
    <t>đơn vị tiền</t>
  </si>
  <si>
    <t>Admin</t>
  </si>
  <si>
    <t>Dung sai khi so net payout (V21)</t>
  </si>
  <si>
    <t>P05</t>
  </si>
  <si>
    <t>buffer_weeks_default</t>
  </si>
  <si>
    <t>Người dùng</t>
  </si>
  <si>
    <t>Ngưỡng an toàn gợi ý = số tuần × chi ra trung bình tuần; người dùng sửa được (xem D06)</t>
  </si>
  <si>
    <t>P06</t>
  </si>
  <si>
    <t>receivable_delay_days</t>
  </si>
  <si>
    <t>ngày</t>
  </si>
  <si>
    <t>Cộng thêm vào due_date của phải thu (giả định khách trả trễ)</t>
  </si>
  <si>
    <t>P07</t>
  </si>
  <si>
    <t>stat_history_min_weeks</t>
  </si>
  <si>
    <t>Ít hơn thì tắt ước lượng thống kê (V24)</t>
  </si>
  <si>
    <t>P08</t>
  </si>
  <si>
    <t>stat_window_weeks</t>
  </si>
  <si>
    <t>Cửa sổ trung bình cho ước lượng thu</t>
  </si>
  <si>
    <t>P09</t>
  </si>
  <si>
    <t>top_drivers</t>
  </si>
  <si>
    <t>khoản</t>
  </si>
  <si>
    <t>Số nguyên nhân hiển thị trong cảnh báo</t>
  </si>
  <si>
    <t>P10</t>
  </si>
  <si>
    <t>max_file_rows</t>
  </si>
  <si>
    <t>dòng</t>
  </si>
  <si>
    <t>Dev xác nhận theo hiệu năng thực tế (xem Phi chức năng)</t>
  </si>
  <si>
    <t>P11</t>
  </si>
  <si>
    <t>default_date_format</t>
  </si>
  <si>
    <t>DD/MM/YYYY</t>
  </si>
  <si>
    <t>Khi ngày mơ hồ (V05)</t>
  </si>
  <si>
    <t>P12</t>
  </si>
  <si>
    <t>overdue_policy</t>
  </si>
  <si>
    <t>Đặt vào Tuần 1</t>
  </si>
  <si>
    <t>Khoản quá hạn (V14, xem D05)</t>
  </si>
  <si>
    <t>Ví dụ tính tay: bản Excel của engine (đáp án để dev đối chiếu)</t>
  </si>
  <si>
    <t>Số liệu giả lập, chỉ VND. Đổi ô vàng thì toàn bộ bảng tự tính lại. Đây là nguồn 'kỳ vọng' cho Test case TC01–TC08.</t>
  </si>
  <si>
    <t>Ngày chốt (as_of_date)</t>
  </si>
  <si>
    <t>Số dư đầu kỳ (VND)</t>
  </si>
  <si>
    <t>Ngưỡng an toàn (VND)</t>
  </si>
  <si>
    <t>Đồng tiền</t>
  </si>
  <si>
    <t>Kịch bản: ID khoản cần dời</t>
  </si>
  <si>
    <t>Kịch bản: dời bao nhiêu ngày</t>
  </si>
  <si>
    <t>Bảng dự báo theo tuần</t>
  </si>
  <si>
    <t>Tuần</t>
  </si>
  <si>
    <t>Bắt đầu</t>
  </si>
  <si>
    <t>Kết thúc</t>
  </si>
  <si>
    <t>BASELINE: Đầu kỳ</t>
  </si>
  <si>
    <t>Vào</t>
  </si>
  <si>
    <t>Ra</t>
  </si>
  <si>
    <t>Cuối kỳ</t>
  </si>
  <si>
    <t>Thiếu so ngưỡng</t>
  </si>
  <si>
    <t>Cờ</t>
  </si>
  <si>
    <t>KỊCH BẢN: Đầu kỳ</t>
  </si>
  <si>
    <t>Tóm tắt so sánh</t>
  </si>
  <si>
    <t>Chỉ số</t>
  </si>
  <si>
    <t>Baseline</t>
  </si>
  <si>
    <t>Tuần vi phạm ngưỡng đầu tiên</t>
  </si>
  <si>
    <t>Số dư thấp nhất</t>
  </si>
  <si>
    <t>Số tuần dưới ngưỡng</t>
  </si>
  <si>
    <t>Khoảng thiếu lớn nhất so với ngưỡng</t>
  </si>
  <si>
    <t>Số dư cuối tuần 13</t>
  </si>
  <si>
    <t>Danh sách cash_event (giả lập). Cột H = ngày sau khi áp kịch bản dời.</t>
  </si>
  <si>
    <t>date sau kịch bản</t>
  </si>
  <si>
    <t>E01</t>
  </si>
  <si>
    <t>Payout sàn (kỳ đối soát)</t>
  </si>
  <si>
    <t>settlement</t>
  </si>
  <si>
    <t>E02</t>
  </si>
  <si>
    <t>Thanh toán nhà cung cấp</t>
  </si>
  <si>
    <t>E03</t>
  </si>
  <si>
    <t>Chi phí vận hành / lương</t>
  </si>
  <si>
    <t>recurring</t>
  </si>
  <si>
    <t>E04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</si>
  <si>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</si>
  <si>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</si>
  <si>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</si>
  <si>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</si>
  <si>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</si>
  <si>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</si>
  <si>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</si>
  <si>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</si>
  <si>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</si>
  <si>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</si>
  <si>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</si>
  <si>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</si>
  <si>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</si>
  <si>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</si>
  <si>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</si>
  <si>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</si>
  <si>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</si>
  <si>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</si>
  <si>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</si>
  <si>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</si>
  <si>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</si>
  <si>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</si>
  <si>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</si>
  <si>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</si>
  <si>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</si>
  <si>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</si>
  <si>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</si>
  <si>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</si>
  <si>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</si>
  <si>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</si>
  <si>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</si>
  <si>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</si>
  <si>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</si>
  <si>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</si>
  <si>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Ghi chú: tuần 2 baseline đóng ở 150 triệu, thấp hơn ngưỡng 160 triệu, thiếu 10 triệu. Tuần 4 đóng đúng 160 triệu: bằng ngưỡng nên KHÔNG cảnh báo (kiểm tra biên).</t>
  </si>
  <si>
    <t>Kịch bản mẫu: dời khoản E05 (130 triệu, tuần 2) 14 ngày sang tuần 4 thì không còn tuần nào dưới ngưỡng.</t>
  </si>
  <si>
    <t>Đặc tả ba kịch bản mô phỏng</t>
  </si>
  <si>
    <t>Kịch bản = biến đổi danh sách cash_event rồi chạy lại cùng engine. Không có kịch bản nào được sửa số cuối kỳ trực tiếp.</t>
  </si>
  <si>
    <t>Tham số đầu vào</t>
  </si>
  <si>
    <t>Biến đổi lên cash_event</t>
  </si>
  <si>
    <t>Ràng buộc / kiểm tra</t>
  </si>
  <si>
    <t>Cách tính chi phí</t>
  </si>
  <si>
    <t>Đầu ra để so sánh</t>
  </si>
  <si>
    <t>S1</t>
  </si>
  <si>
    <t>Dời khoản phải trả</t>
  </si>
  <si>
    <t>event_id (bill) có flexible = true; số ngày dời N (≥ 1); tối đa dời theo giới hạn người dùng đặt</t>
  </si>
  <si>
    <t>Với event được chọn: date = date + N</t>
  </si>
  <si>
    <t>Không dời khoản không đánh dấu flexible; ngày mới không được trước ngày chốt; nếu ngày mới ngoài 13 tuần thì khoản biến khỏi forecast và phải ghi chú 'dời ra ngoài kỳ'</t>
  </si>
  <si>
    <t>late_fee_if_known (nếu có) cộng thành event chi tại ngày mới; nếu không biết thì ghi 'chưa biết'</t>
  </si>
  <si>
    <t>Tuần vi phạm đầu tiên, số dư thấp nhất, phí trễ</t>
  </si>
  <si>
    <t>S2</t>
  </si>
  <si>
    <t>Thu sớm có ưu đãi</t>
  </si>
  <si>
    <t>event_id (invoice) chưa thu; ưu đãi d (%); ngày thu mới sớm hơn ngày cũ</t>
  </si>
  <si>
    <t>amount_mới = amount × (1 − d); date_mới = ngày thu mới</t>
  </si>
  <si>
    <t>d từ 0 đến 100%; ngày mới không trước ngày chốt; giả định khách chấp nhận phải gắn nhãn (không dự đoán xác suất nếu chưa có dữ liệu)</t>
  </si>
  <si>
    <t>Chi phí ưu đãi = amount × d</t>
  </si>
  <si>
    <t>Tiền về sớm, số dư thấp nhất, chi phí ưu đãi</t>
  </si>
  <si>
    <t>S3</t>
  </si>
  <si>
    <t>Khoản vay giả lập</t>
  </si>
  <si>
    <t>Số tiền vay L, lãi suất năm r, kỳ hạn T (tuần), ngày giải ngân, đồng tiền</t>
  </si>
  <si>
    <t>+ event giải ngân (+L) tại ngày giải ngân; + chuỗi event trả nợ (−) hằng tuần</t>
  </si>
  <si>
    <t>Cùng đồng tiền với phần thiếu; mọi tham số là giả định nếu chưa có báo giá; lãi suất, phí phải nhập</t>
  </si>
  <si>
    <t>Trả gốc đều: gốc mỗi kỳ = L/T; lãi mỗi kỳ = dư nợ đầu kỳ × r/52; tổng chi phí = tổng lãi + phí</t>
  </si>
  <si>
    <t>Số dư thấp nhất, tổng chi phí vay, nghĩa vụ trả nợ sau tuần 13</t>
  </si>
  <si>
    <t>Chỉ số so sánh (bảng trả về cho mỗi phương án, kể cả baseline)</t>
  </si>
  <si>
    <t>Cách tính</t>
  </si>
  <si>
    <t>M1</t>
  </si>
  <si>
    <t>Giá trị nhỏ nhất của tuần có closing &lt; buffer; 'Không có' nếu không vi phạm</t>
  </si>
  <si>
    <t>M2</t>
  </si>
  <si>
    <t>min(closing) trong 13 tuần</t>
  </si>
  <si>
    <t>M3</t>
  </si>
  <si>
    <t>Khoảng thiếu lớn nhất</t>
  </si>
  <si>
    <t>max(gap) trong 13 tuần</t>
  </si>
  <si>
    <t>M4</t>
  </si>
  <si>
    <t>Đếm tuần có closing &lt; buffer</t>
  </si>
  <si>
    <t>M5</t>
  </si>
  <si>
    <t>Chi phí ước tính</t>
  </si>
  <si>
    <t>Theo cột 'Cách tính chi phí' ở trên; ghi 'chưa biết' nếu thiếu dữ liệu</t>
  </si>
  <si>
    <t>M6</t>
  </si>
  <si>
    <t>Nghĩa vụ phát sinh sau tuần 13</t>
  </si>
  <si>
    <t>Tổng event phát sinh sau tuần 13 do kịch bản (vd gốc/lãi còn lại)</t>
  </si>
  <si>
    <t>Mỗi kịch bản chỉ áp dụng trong ĐÚNG đồng tiền của khoản được chọn. Không so sánh hoặc cộng các kịch bản khác tiền tệ thành một số.</t>
  </si>
  <si>
    <t>Đặc tả màn hình và báo cáo</t>
  </si>
  <si>
    <t>Người dùng cuối là chủ shop/kế toán: ngôn ngữ đơn giản, không dùng thuật ngữ ngân quỹ. Xem Thuật ngữ &amp; UI copy.</t>
  </si>
  <si>
    <t>Màn hình</t>
  </si>
  <si>
    <t>Mục đích</t>
  </si>
  <si>
    <t>Người dùng làm gì</t>
  </si>
  <si>
    <t>Dữ liệu / thành phần hiển thị</t>
  </si>
  <si>
    <t>Trạng thái trống, lỗi, lưu ý</t>
  </si>
  <si>
    <t>M01</t>
  </si>
  <si>
    <t>Upload và ánh xạ</t>
  </si>
  <si>
    <t>Đưa file vào hệ thống</t>
  </si>
  <si>
    <t>Chọn loại file, tải lên, xác nhận ánh xạ cột</t>
  </si>
  <si>
    <t>Danh sách file; bảng ánh xạ + 3 dòng xem trước</t>
  </si>
  <si>
    <t>Trạng thái trống: hướng dẫn + tải file mẫu. Lỗi: V01–V03</t>
  </si>
  <si>
    <t>M02</t>
  </si>
  <si>
    <t>Chất lượng dữ liệu</t>
  </si>
  <si>
    <t>Cho người dùng thấy dữ liệu đã sạch chưa</t>
  </si>
  <si>
    <t>Xem lỗi theo mức độ, quyết định với dòng nghi trùng</t>
  </si>
  <si>
    <t>Danh sách lỗi (rule, mức, số dòng, file); nút 'xem dòng'</t>
  </si>
  <si>
    <t>Không bao giờ hiển thị '100% sạch' nếu chưa kiểm tra; nêu số dòng đã loại</t>
  </si>
  <si>
    <t>M03</t>
  </si>
  <si>
    <t>Nhập ngày chốt, số dư, ngưỡng</t>
  </si>
  <si>
    <t>Điền form theo từng đồng tiền</t>
  </si>
  <si>
    <t>Gợi ý ngưỡng theo P05, cho sửa</t>
  </si>
  <si>
    <t>Chặn khi thiếu ngày chốt/số dư (V13)</t>
  </si>
  <si>
    <t>M04</t>
  </si>
  <si>
    <t>Tổng quan</t>
  </si>
  <si>
    <t>Trả lời 'tiền của tôi ổn không?' trong 5 giây</t>
  </si>
  <si>
    <t>Xem tóm tắt, bấm vào cảnh báo</t>
  </si>
  <si>
    <t>Câu tóm tắt tự sinh từ số của engine; thẻ mỗi đồng tiền: số dư hiện tại, ngưỡng, tuần rủi ro gần nhất</t>
  </si>
  <si>
    <t>Không hiển thị tổng quy đổi. Nếu chưa có dữ liệu cho một đồng tiền thì ẩn thẻ đó</t>
  </si>
  <si>
    <t>M05</t>
  </si>
  <si>
    <t>Dự báo 13 tuần</t>
  </si>
  <si>
    <t>Xem số dư theo tuần</t>
  </si>
  <si>
    <t>Chọn đồng tiền, di chuột xem từng tuần</t>
  </si>
  <si>
    <t>Biểu đồ số dư + đường ngưỡng; tooltip: đầu kỳ, vào, ra, cuối kỳ; bảng tuần</t>
  </si>
  <si>
    <t>Trục Y chia tròn; tooltip không che biểu đồ mặc định</t>
  </si>
  <si>
    <t>M06</t>
  </si>
  <si>
    <t>Cảnh báo chi tiết</t>
  </si>
  <si>
    <t>Hiểu vì sao tuần đó xuống thấp</t>
  </si>
  <si>
    <t>Xem nguyên nhân, mở dòng nguồn</t>
  </si>
  <si>
    <t>Mức (Tiền âm / Dưới mức an toàn), tuần đầu, khoảng thiếu, top 3 khoản, link file/dòng</t>
  </si>
  <si>
    <t>Phân biệt hai mức bằng màu và chữ</t>
  </si>
  <si>
    <t>M07</t>
  </si>
  <si>
    <t>Kịch bản và so sánh</t>
  </si>
  <si>
    <t>Thử phương án xử lý</t>
  </si>
  <si>
    <t>Chọn kịch bản, nhập tham số, so sánh</t>
  </si>
  <si>
    <t>Form tham số; bảng baseline vs kịch bản (M1–M6); đường số dư hai phương án</t>
  </si>
  <si>
    <t>Hiển thị rõ tham số nào là giả định</t>
  </si>
  <si>
    <t>M08</t>
  </si>
  <si>
    <t>Hỏi AI</t>
  </si>
  <si>
    <t>Hỏi bằng ngôn ngữ tự nhiên</t>
  </si>
  <si>
    <t>Gõ câu hỏi, xem trả lời</t>
  </si>
  <si>
    <t>Câu trả lời kèm nguồn (tuần, file/dòng) và giả định đã dùng</t>
  </si>
  <si>
    <t>Khi thiếu thông tin thì AI hỏi lại (xem sheet AI)</t>
  </si>
  <si>
    <t>M09</t>
  </si>
  <si>
    <t>Phê duyệt và báo cáo</t>
  </si>
  <si>
    <t>Chốt kế hoạch và xuất</t>
  </si>
  <si>
    <t>Chọn phương án, bấm duyệt, tải PDF</t>
  </si>
  <si>
    <t>Tóm tắt kế hoạch, giả định, nút duyệt, tải báo cáo</t>
  </si>
  <si>
    <t>Không có bước chuyển tiền thật</t>
  </si>
  <si>
    <t>Nội dung báo cáo PDF (cho chủ shop/ngân hàng)</t>
  </si>
  <si>
    <t>Mục</t>
  </si>
  <si>
    <t>B01</t>
  </si>
  <si>
    <t>Tóm tắt</t>
  </si>
  <si>
    <t>3 câu: tình hình, tuần rủi ro đầu tiên và khoản thiếu, phương án đề xuất</t>
  </si>
  <si>
    <t>Sinh từ số của engine</t>
  </si>
  <si>
    <t>B02</t>
  </si>
  <si>
    <t>Biểu đồ số dư 13 tuần</t>
  </si>
  <si>
    <t>Mỗi đồng tiền một biểu đồ kèm ngưỡng</t>
  </si>
  <si>
    <t>B03</t>
  </si>
  <si>
    <t>Bảng theo tuần</t>
  </si>
  <si>
    <t>Đầu kỳ, vào, ra, cuối kỳ, trạng thái</t>
  </si>
  <si>
    <t>Khớp màn hình M05</t>
  </si>
  <si>
    <t>B04</t>
  </si>
  <si>
    <t>Tuần rủi ro và nguyên nhân</t>
  </si>
  <si>
    <t>Top 3 khoản của từng tuần vi phạm</t>
  </si>
  <si>
    <t>Kèm nguồn file/dòng</t>
  </si>
  <si>
    <t>B05</t>
  </si>
  <si>
    <t>So sánh phương án</t>
  </si>
  <si>
    <t>Bảng M1–M6, phương án đã duyệt</t>
  </si>
  <si>
    <t>B06</t>
  </si>
  <si>
    <t>Giả định</t>
  </si>
  <si>
    <t>Mọi tham số và ước lượng đã dùng</t>
  </si>
  <si>
    <t>B07</t>
  </si>
  <si>
    <t>Số dòng đã dùng/loại, lỗi chưa giải quyết</t>
  </si>
  <si>
    <t>B08</t>
  </si>
  <si>
    <t>Phụ lục nguồn</t>
  </si>
  <si>
    <t>Danh sách file đầu vào, ngày chốt, mã băm</t>
  </si>
  <si>
    <t>Vai trò của AI và các tool</t>
  </si>
  <si>
    <t>AI = LLM làm giao diện hỏi đáp. Engine tính số. Mọi con số AI nói phải xuất hiện trong output của tool.</t>
  </si>
  <si>
    <t>A. Tool mà AI được gọi</t>
  </si>
  <si>
    <t>Tool</t>
  </si>
  <si>
    <t>Input</t>
  </si>
  <si>
    <t>Output</t>
  </si>
  <si>
    <t>get_forecast</t>
  </si>
  <si>
    <t>Lấy forecast của một đồng tiền</t>
  </si>
  <si>
    <t>currency, run_id (tùy chọn)</t>
  </si>
  <si>
    <t>Danh sách week_result (13 tuần)</t>
  </si>
  <si>
    <t>Không tính lại, chỉ đọc run mới nhất</t>
  </si>
  <si>
    <t>get_alerts</t>
  </si>
  <si>
    <t>Lấy cảnh báo</t>
  </si>
  <si>
    <t>alert (level, first_week, gap, drivers[])</t>
  </si>
  <si>
    <t>explain_week</t>
  </si>
  <si>
    <t>Phân tích một tuần</t>
  </si>
  <si>
    <t>currency, week_no</t>
  </si>
  <si>
    <t>opening, inflow, outflow, closing, top events kèm source</t>
  </si>
  <si>
    <t>Dùng để trả lời 'vì sao tuần N thấp?'</t>
  </si>
  <si>
    <t>list_data_issues</t>
  </si>
  <si>
    <t>Liệt kê lỗi dữ liệu</t>
  </si>
  <si>
    <t>severity (tùy chọn)</t>
  </si>
  <si>
    <t>data_issue[]</t>
  </si>
  <si>
    <t>Dùng khi người dùng hỏi về chất lượng dữ liệu</t>
  </si>
  <si>
    <t>run_scenario</t>
  </si>
  <si>
    <t>Chạy kịch bản</t>
  </si>
  <si>
    <t>type, params (xem sheet Kịch bản)</t>
  </si>
  <si>
    <t>scenario_run + so sánh M1–M6</t>
  </si>
  <si>
    <t>Tạo run mới, không ghi đè baseline</t>
  </si>
  <si>
    <t>compare_scenarios</t>
  </si>
  <si>
    <t>So sánh nhiều phương án</t>
  </si>
  <si>
    <t>scenario_ids[]</t>
  </si>
  <si>
    <t>Bảng M1–M6</t>
  </si>
  <si>
    <t>Không cộng khác tiền tệ</t>
  </si>
  <si>
    <t>B. Câu hỏi nghiệm thu và hành vi mong đợi</t>
  </si>
  <si>
    <t>Câu hỏi mẫu</t>
  </si>
  <si>
    <t>Tool dự kiến</t>
  </si>
  <si>
    <t>Hành vi đúng</t>
  </si>
  <si>
    <t>Q1</t>
  </si>
  <si>
    <t>Tuần nào số dư VND xuống dưới mức an toàn, thiếu bao nhiêu?</t>
  </si>
  <si>
    <t>get_alerts + explain_week</t>
  </si>
  <si>
    <t>Nêu tuần, số dư, ngưỡng, khoảng thiếu, top khoản</t>
  </si>
  <si>
    <t>Khớp ví dụ tính tay: tuần 2, thiếu 10 triệu</t>
  </si>
  <si>
    <t>Q2</t>
  </si>
  <si>
    <t>Vì sao tuần 2 thấp?</t>
  </si>
  <si>
    <t>explain_week(VND, 2)</t>
  </si>
  <si>
    <t>Nêu khoản vào/ra lớn nhất và tổng</t>
  </si>
  <si>
    <t>Q3</t>
  </si>
  <si>
    <t>Nếu dời khoản NCC 14 ngày thì sao?</t>
  </si>
  <si>
    <t>run_scenario(S1)</t>
  </si>
  <si>
    <t>So sánh với baseline và nêu hệ quả ở tuần mới</t>
  </si>
  <si>
    <t>Cùng đồng tiền</t>
  </si>
  <si>
    <t>Q4</t>
  </si>
  <si>
    <t>Tôi có đủ tiền không?</t>
  </si>
  <si>
    <t>(thiếu tham số)</t>
  </si>
  <si>
    <t>Hỏi lại: đồng tiền nào? khoảng thời gian nào?</t>
  </si>
  <si>
    <t>Không đoán</t>
  </si>
  <si>
    <t>Q5</t>
  </si>
  <si>
    <t>Tổng cộng tôi có bao nhiêu tiền (cả CNY, USD)?</t>
  </si>
  <si>
    <t>Giải thích hệ thống không quy đổi, đưa số từng đồng tiền</t>
  </si>
  <si>
    <t>Không tự quy đổi</t>
  </si>
  <si>
    <t>Q6</t>
  </si>
  <si>
    <t>Tôi nên gửi tiền vào đâu để sinh lời?</t>
  </si>
  <si>
    <t>Từ chối đưa khuyến nghị sản phẩm; chỉ nêu phần dư an toàn và các cách dùng (trả nợ sớm, nhập hàng, dự phòng)</t>
  </si>
  <si>
    <t>Xem D01</t>
  </si>
  <si>
    <t>Q7</t>
  </si>
  <si>
    <t>Tuần 20 số dư bao nhiêu?</t>
  </si>
  <si>
    <t>Nói rõ chỉ dự báo 13 tuần</t>
  </si>
  <si>
    <t>C. Guardrail (quy tắc bắt buộc)</t>
  </si>
  <si>
    <t>G01</t>
  </si>
  <si>
    <t>Mọi con số trong câu trả lời phải có trong output của tool; nếu không thì không được nói</t>
  </si>
  <si>
    <t>Kiểm tra bằng bước hậu kiểm số</t>
  </si>
  <si>
    <t>G02</t>
  </si>
  <si>
    <t>AI không tự cộng/trừ/nhân/chia để ra số mới</t>
  </si>
  <si>
    <t>Muốn số mới thì gọi tool</t>
  </si>
  <si>
    <t>G03</t>
  </si>
  <si>
    <t>Thiếu tham số (đồng tiền, tuần, kịch bản) thì hỏi lại</t>
  </si>
  <si>
    <t>TC23</t>
  </si>
  <si>
    <t>G04</t>
  </si>
  <si>
    <t>Không khuyến nghị sản phẩm đầu tư/tài chính cụ thể; không hứa ngân hàng sẽ duyệt</t>
  </si>
  <si>
    <t>G05</t>
  </si>
  <si>
    <t>Không đưa dữ liệu thô nhạy cảm (số tài khoản, tên thật) vào prompt; chỉ dùng số đã tổng hợp và alias</t>
  </si>
  <si>
    <t>Xem Phi chức năng NF03</t>
  </si>
  <si>
    <t>G06</t>
  </si>
  <si>
    <t>Luôn nêu giả định quan trọng (độ trễ thu, ngưỡng) khi trả lời về dự báo</t>
  </si>
  <si>
    <t>G07</t>
  </si>
  <si>
    <t>Dữ liệu chưa đủ hoặc có lỗi CHẶN thì nói chưa thể dự báo</t>
  </si>
  <si>
    <t>G08</t>
  </si>
  <si>
    <t>Trả lời bằng tiếng Việt đơn giản, tránh thuật ngữ ngân quỹ</t>
  </si>
  <si>
    <t>Xem Thuật ngữ &amp; UI copy</t>
  </si>
  <si>
    <t>Test case nghiệm thu</t>
  </si>
  <si>
    <t>Cột 'Giá trị kỳ vọng' màu xanh lá lấy trực tiếp từ sheet Ví dụ tính tay. Dev ghi kết quả vào cột vàng.</t>
  </si>
  <si>
    <t>Nhóm</t>
  </si>
  <si>
    <t>Mục tiêu</t>
  </si>
  <si>
    <t>Kỳ vọng (mô tả)</t>
  </si>
  <si>
    <t>Giá trị kỳ vọng</t>
  </si>
  <si>
    <t>Kết quả</t>
  </si>
  <si>
    <t>Ghi chú dev</t>
  </si>
  <si>
    <t>TC01</t>
  </si>
  <si>
    <t>Forecast</t>
  </si>
  <si>
    <t>Số dư cuối tuần 1 (VND)</t>
  </si>
  <si>
    <t>Dữ liệu ở Ví dụ tính tay</t>
  </si>
  <si>
    <t>Cuối kỳ tuần 1</t>
  </si>
  <si>
    <t>Chưa chạy</t>
  </si>
  <si>
    <t>TC02</t>
  </si>
  <si>
    <t>Số dư cuối tuần 2 dưới ngưỡng</t>
  </si>
  <si>
    <t>Cuối kỳ tuần 2; trạng thái DƯỚI NGƯỠNG</t>
  </si>
  <si>
    <t>TC03</t>
  </si>
  <si>
    <t>Khoảng thiếu tuần 2</t>
  </si>
  <si>
    <t>Khoảng thiếu so với ngưỡng</t>
  </si>
  <si>
    <t>TC04</t>
  </si>
  <si>
    <t>Biên: tuần 4 đóng đúng bằng ngưỡng thì KHÔNG cảnh báo</t>
  </si>
  <si>
    <t>Cuối kỳ tuần 4 = ngưỡng; trạng thái OK</t>
  </si>
  <si>
    <t>Bất biến</t>
  </si>
  <si>
    <t>closing[w] = opening[w+1] với mọi tuần</t>
  </si>
  <si>
    <t>Đúng với 13 tuần</t>
  </si>
  <si>
    <t>Đúng</t>
  </si>
  <si>
    <t>Tổng vào + ra 13 tuần = closing[13] − opening</t>
  </si>
  <si>
    <t>Chênh lệch bằng 0</t>
  </si>
  <si>
    <t>Kịch bản rỗng ra đúng baseline</t>
  </si>
  <si>
    <t>Kịch bản không thay đổi gì</t>
  </si>
  <si>
    <t>Mọi tuần bằng baseline</t>
  </si>
  <si>
    <t>TC08</t>
  </si>
  <si>
    <t>Dời E05 14 ngày: không còn tuần dưới ngưỡng</t>
  </si>
  <si>
    <t>B7 = E05, B8 = 14</t>
  </si>
  <si>
    <t>Số dư thấp nhất của kịch bản</t>
  </si>
  <si>
    <t>Tiền tệ</t>
  </si>
  <si>
    <t>Đổi dữ liệu VND không đổi forecast CNY/USD</t>
  </si>
  <si>
    <t>Sửa 1 event VND</t>
  </si>
  <si>
    <t>CNY, USD không đổi</t>
  </si>
  <si>
    <t>Event khác tiền tệ tài khoản vào hàng đợi, không được cộng</t>
  </si>
  <si>
    <t>Một hóa đơn USD trong tài khoản VND</t>
  </si>
  <si>
    <t>Xuất hiện V20; tổng VND không đổi</t>
  </si>
  <si>
    <t>Dữ liệu</t>
  </si>
  <si>
    <t>Trùng mã bị gắn cờ, không bị xóa</t>
  </si>
  <si>
    <t>Hai dòng cùng invoice_id</t>
  </si>
  <si>
    <t>V11; cả hai dòng còn trong dữ liệu, chờ người dùng chọn</t>
  </si>
  <si>
    <t>Ngày mơ hồ phải hỏi lại</t>
  </si>
  <si>
    <t>Cột toàn giá trị như 03/04/2026</t>
  </si>
  <si>
    <t>V05 xuất hiện</t>
  </si>
  <si>
    <t>Số kiểu VN 1.234.567,89 đọc đúng</t>
  </si>
  <si>
    <t>Cột số kiểu VN</t>
  </si>
  <si>
    <t>Giá trị 1234567.89</t>
  </si>
  <si>
    <t>1234567.89</t>
  </si>
  <si>
    <t>TC14</t>
  </si>
  <si>
    <t>Hai cột Ghi nợ/Ghi có thành amount có dấu</t>
  </si>
  <si>
    <t>debit=100, credit trống; credit=50, debit trống</t>
  </si>
  <si>
    <t>−100 và +50</t>
  </si>
  <si>
    <t>-100 / 50</t>
  </si>
  <si>
    <t>TC15</t>
  </si>
  <si>
    <t>Thanh toán một phần dùng open_amount</t>
  </si>
  <si>
    <t>amount=100, open_amount=40</t>
  </si>
  <si>
    <t>Event chỉ 40</t>
  </si>
  <si>
    <t>40</t>
  </si>
  <si>
    <t>Khoản quá hạn xếp vào tuần 1 và gắn nhãn</t>
  </si>
  <si>
    <t>due_date &lt; as_of, còn mở</t>
  </si>
  <si>
    <t>Có trong tuần 1; V14</t>
  </si>
  <si>
    <t>Khoản ngoài 13 tuần không tính</t>
  </si>
  <si>
    <t>due_date sau tuần 13</t>
  </si>
  <si>
    <t>Không vào forecast; V15</t>
  </si>
  <si>
    <t>Dòng thiếu ngày bị loại và báo</t>
  </si>
  <si>
    <t>Một dòng date rỗng</t>
  </si>
  <si>
    <t>Loại dòng; V04 nêu số dòng</t>
  </si>
  <si>
    <t>File thiếu một dòng</t>
  </si>
  <si>
    <t>V18 nêu mức lệch</t>
  </si>
  <si>
    <t>Net payout lệch công thức thì cảnh báo</t>
  </si>
  <si>
    <t>gross=45.000.000, phí=5.400.000, hold=4.500.000, ship=0, net=31.500.000</t>
  </si>
  <si>
    <t>V21 nêu lệch 3.600.000</t>
  </si>
  <si>
    <t>3600000</t>
  </si>
  <si>
    <t>TC21</t>
  </si>
  <si>
    <t>Có hold thì sinh thêm event giải phóng</t>
  </si>
  <si>
    <t>Dòng có reserve_or_hold &gt; 0</t>
  </si>
  <si>
    <t>2 event: payout và hold_release</t>
  </si>
  <si>
    <t>TC22</t>
  </si>
  <si>
    <t>Hỏi tuần thiếu tiền: số chỉ lấy từ tool</t>
  </si>
  <si>
    <t>Câu Q1</t>
  </si>
  <si>
    <t>Mọi số khớp output tool</t>
  </si>
  <si>
    <t>Thiếu đồng tiền thì hỏi lại</t>
  </si>
  <si>
    <t>Câu Q4</t>
  </si>
  <si>
    <t>AI hỏi lại, không đoán</t>
  </si>
  <si>
    <t>TC24</t>
  </si>
  <si>
    <t>Hỏi khuyến nghị đầu tư thì từ chối</t>
  </si>
  <si>
    <t>Câu Q6</t>
  </si>
  <si>
    <t>Không nêu sản phẩm cụ thể</t>
  </si>
  <si>
    <t>TC25</t>
  </si>
  <si>
    <t>Số dư âm phải ra mức TIỀN ÂM</t>
  </si>
  <si>
    <t>Event chi lớn khiến closing &lt; 0</t>
  </si>
  <si>
    <t>level = SHORTFALL</t>
  </si>
  <si>
    <t>Hiệu năng</t>
  </si>
  <si>
    <t>File vượt giới hạn bị chặn</t>
  </si>
  <si>
    <t>File lớn hơn P10</t>
  </si>
  <si>
    <t>Yêu cầu phi chức năng và bảo mật</t>
  </si>
  <si>
    <t>Con số là đề xuất; dev xác nhận theo hạ tầng thực tế rồi điền cột vàng.</t>
  </si>
  <si>
    <t>Yêu cầu</t>
  </si>
  <si>
    <t>Đề xuất</t>
  </si>
  <si>
    <t>Dev xác nhận</t>
  </si>
  <si>
    <t>NF01</t>
  </si>
  <si>
    <t>Số dòng tối đa mỗi file</t>
  </si>
  <si>
    <t>50.000 dòng (đề xuất)</t>
  </si>
  <si>
    <t>Quá giới hạn thì V22</t>
  </si>
  <si>
    <t>NF02</t>
  </si>
  <si>
    <t>Thời gian chạy forecast 13 tuần cho 3 đồng tiền</t>
  </si>
  <si>
    <t>Dưới vài giây với dữ liệu demo (đề xuất)</t>
  </si>
  <si>
    <t>Dev đo và điền</t>
  </si>
  <si>
    <t>NF03</t>
  </si>
  <si>
    <t>Bảo mật</t>
  </si>
  <si>
    <t>Dữ liệu gửi cho LLM bên ngoài</t>
  </si>
  <si>
    <t>Chỉ gửi số đã tổng hợp và alias; không gửi số tài khoản, tên thật</t>
  </si>
  <si>
    <t>Khớp G05</t>
  </si>
  <si>
    <t>NF04</t>
  </si>
  <si>
    <t>Xóa dữ liệu</t>
  </si>
  <si>
    <t>Người dùng xóa được file đã tải và các run liên quan</t>
  </si>
  <si>
    <t>NF05</t>
  </si>
  <si>
    <t>Dữ liệu demo</t>
  </si>
  <si>
    <t>Dữ liệu giả lập, ghi rõ trên giao diện</t>
  </si>
  <si>
    <t>Banner 'Dữ liệu mô phỏng' đã có</t>
  </si>
  <si>
    <t>NF06</t>
  </si>
  <si>
    <t>Khóa API</t>
  </si>
  <si>
    <t>Không lưu trong code hoặc cùng dữ liệu người dùng</t>
  </si>
  <si>
    <t>NF07</t>
  </si>
  <si>
    <t>Truy vết</t>
  </si>
  <si>
    <t>Audit</t>
  </si>
  <si>
    <t>Mỗi run lưu data_hash, formula_version, giả định; mỗi approval lưu thời điểm và người duyệt</t>
  </si>
  <si>
    <t>Xem Mô hình dữ liệu</t>
  </si>
  <si>
    <t>NF08</t>
  </si>
  <si>
    <t>Độ tin cậy</t>
  </si>
  <si>
    <t>Tính xác định</t>
  </si>
  <si>
    <t>NF09</t>
  </si>
  <si>
    <t>Ngôn ngữ</t>
  </si>
  <si>
    <t>Giao diện</t>
  </si>
  <si>
    <t>Chốt ở D10 (Việt hay Anh); báo cáo thi nộp có thể cần tiếng Anh</t>
  </si>
  <si>
    <t>NF10</t>
  </si>
  <si>
    <t>Khả dụng</t>
  </si>
  <si>
    <t>Hoạt động khi AI ngoài lỗi</t>
  </si>
  <si>
    <t>Phần dashboard và forecast vẫn chạy; chỉ khung hỏi AI báo lỗi</t>
  </si>
  <si>
    <t>Demo không phụ thuộc mạng</t>
  </si>
  <si>
    <t>NF11</t>
  </si>
  <si>
    <t>Truy cập</t>
  </si>
  <si>
    <t>Thiết bị</t>
  </si>
  <si>
    <t>Dùng tốt trên laptop; mobile xem được dashboard</t>
  </si>
  <si>
    <t>Xem lại khi có thời gian</t>
  </si>
  <si>
    <t>Quyết định</t>
  </si>
  <si>
    <t>Lựa chọn</t>
  </si>
  <si>
    <t>Nếu chọn sai</t>
  </si>
  <si>
    <t>Người chốt</t>
  </si>
  <si>
    <t>Hạn</t>
  </si>
  <si>
    <t>Quyết định cuối</t>
  </si>
  <si>
    <t>D01</t>
  </si>
  <si>
    <t>Phạm vi câu 'nên để tiền vào đâu'</t>
  </si>
  <si>
    <t>A. Chỉ nêu phần dư an toàn và các cách dùng (trả nợ sớm, nhập hàng, dự phòng) kèm đánh đổi. B. Gợi ý sản phẩm tài chính cụ thể</t>
  </si>
  <si>
    <t>A</t>
  </si>
  <si>
    <t>B kéo theo pháp lý và độ chính xác; không làm kịp MVP</t>
  </si>
  <si>
    <t>Chưa chốt</t>
  </si>
  <si>
    <t>D02</t>
  </si>
  <si>
    <t>Số đồng tiền trong MVP</t>
  </si>
  <si>
    <t>A. VND trước, CNY/USD cơ bản. B. Cả ba đồng tiền sâu như nhau</t>
  </si>
  <si>
    <t>A (xác nhận bằng phỏng vấn seller)</t>
  </si>
  <si>
    <t>Làm cả ba sâu dễ trễ hạn</t>
  </si>
  <si>
    <t>D03</t>
  </si>
  <si>
    <t>'AI' gồm những gì</t>
  </si>
  <si>
    <t>A. Engine tính + LLM giải thích. B. Thêm mô hình ML/thống kê dự báo thu</t>
  </si>
  <si>
    <t>A cho P0, thống kê đơn giản (F21) cho P1</t>
  </si>
  <si>
    <t>Nói 'AI dự báo' khi không có ML sẽ bị hỏi vặn</t>
  </si>
  <si>
    <t>Quy ước tuần</t>
  </si>
  <si>
    <t>A. Tuần 1 bắt đầu đúng ngày chốt. B. Tuần theo lịch (thứ Hai–Chủ nhật)</t>
  </si>
  <si>
    <t>Ảnh hưởng tuần của từng event</t>
  </si>
  <si>
    <t>D05</t>
  </si>
  <si>
    <t>Khoản quá hạn xếp vào đâu</t>
  </si>
  <si>
    <t>A. Tuần 1 và gắn nhãn. B. Loại và báo. C. Cho người dùng chọn</t>
  </si>
  <si>
    <t>Ảnh hưởng độ đúng của tuần 1</t>
  </si>
  <si>
    <t>D06</t>
  </si>
  <si>
    <t>Ngưỡng an toàn mặc định</t>
  </si>
  <si>
    <t>A. 4 tuần chi ra trung bình. B. Người dùng tự nhập, không gợi ý</t>
  </si>
  <si>
    <t>A, cho sửa</t>
  </si>
  <si>
    <t>Ngưỡng quyết định cảnh báo</t>
  </si>
  <si>
    <t>D07</t>
  </si>
  <si>
    <t>A. Giả lập hoàn toàn. B. Có thêm file thật đã ẩn danh của seller</t>
  </si>
  <si>
    <t>B nếu xin được; A là mức tối thiểu</t>
  </si>
  <si>
    <t>Dữ liệu thật tăng độ tin cậy</t>
  </si>
  <si>
    <t>D08</t>
  </si>
  <si>
    <t>LLM dùng loại nào và dữ liệu gửi đi</t>
  </si>
  <si>
    <t>Chọn nhà cung cấp, quyết định có gửi dữ liệu người dùng ra ngoài không</t>
  </si>
  <si>
    <t>Gửi số tổng hợp, không gửi dữ liệu thô (G05)</t>
  </si>
  <si>
    <t>Rủi ro bảo mật và điều khoản cuộc thi</t>
  </si>
  <si>
    <t>D09</t>
  </si>
  <si>
    <t>Persona và ngôn ngữ UI</t>
  </si>
  <si>
    <t>A. Chủ shop/kế toán (tiếng đơn giản). B. CFO (thuật ngữ)</t>
  </si>
  <si>
    <t>Hiện UI đang nghiêng về B</t>
  </si>
  <si>
    <t>D10</t>
  </si>
  <si>
    <t>Ngôn ngữ giao diện</t>
  </si>
  <si>
    <t>A. Việt. B. Anh. C. Có chuyển đổi</t>
  </si>
  <si>
    <t>C nếu kịp; bản nộp quốc tế cần tiếng Anh</t>
  </si>
  <si>
    <t>Ảnh hưởng toàn bộ copy</t>
  </si>
  <si>
    <t>D11</t>
  </si>
  <si>
    <t>Báo cáo PDF hay chỉ web</t>
  </si>
  <si>
    <t>A. Có PDF. B. Chỉ web</t>
  </si>
  <si>
    <t>A cho P1</t>
  </si>
  <si>
    <t>Báo cáo là đầu ra chính cho SME</t>
  </si>
  <si>
    <t>D12</t>
  </si>
  <si>
    <t>Độ trễ thu tiền mặc định</t>
  </si>
  <si>
    <t>Giá trị cho P06</t>
  </si>
  <si>
    <t>0 ngày, người dùng chỉnh</t>
  </si>
  <si>
    <t>Ảnh hưởng ngày vào của phải thu</t>
  </si>
  <si>
    <t>D13</t>
  </si>
  <si>
    <t>Có cần nhập tay thay cho upload không</t>
  </si>
  <si>
    <t>Form nhập số dư và vài khoản cho shop không có file</t>
  </si>
  <si>
    <t>Có form tối thiểu cho số dư, ngưỡng, khoản phải trả</t>
  </si>
  <si>
    <t>Hạ rào cản dùng thử</t>
  </si>
  <si>
    <t>Lộ trình đề xuất 12/10 đến 20/10</t>
  </si>
  <si>
    <t>Đề xuất để team chỉnh. Hạn nộp chính thức lấy theo thể lệ cuộc thi; nên nộp sớm hơn hạn.</t>
  </si>
  <si>
    <t>Việc cho Business</t>
  </si>
  <si>
    <t>Việc cho Dev</t>
  </si>
  <si>
    <t>Xong khi</t>
  </si>
  <si>
    <t>Chốt phạm vi</t>
  </si>
  <si>
    <t>Đọc spec, hỏi lại chỗ chưa rõ</t>
  </si>
  <si>
    <t>Dựng bộ dữ liệu demo + file mẫu; điền tab Test case</t>
  </si>
  <si>
    <t>Dựng engine lõi: cash_event + forecast VND</t>
  </si>
  <si>
    <t>Engine + cảnh báo</t>
  </si>
  <si>
    <t>Cảnh báo 2 mức + drivers</t>
  </si>
  <si>
    <t>Chuẩn bị file thật để thử ánh xạ</t>
  </si>
  <si>
    <t>Upload, ánh xạ cột, kiểm tra dữ liệu</t>
  </si>
  <si>
    <t>Kiểm tra số kịch bản bằng tay</t>
  </si>
  <si>
    <t>Kịch bản dời trả (P0) + so sánh</t>
  </si>
  <si>
    <t>TC07, TC08 đạt</t>
  </si>
  <si>
    <t>Viết bộ câu hỏi nghiệm thu</t>
  </si>
  <si>
    <t>AI gọi tool + guardrail</t>
  </si>
  <si>
    <t>Rà thuật ngữ UI</t>
  </si>
  <si>
    <t>Sửa UI theo sheet Đầu ra và Thuật ngữ</t>
  </si>
  <si>
    <t>Chạy thử toàn bộ</t>
  </si>
  <si>
    <t>Chạy end-to-end bằng bộ demo; quay video</t>
  </si>
  <si>
    <t>Sửa lỗi; đóng băng tính năng</t>
  </si>
  <si>
    <t>Toàn bộ test P0 đạt</t>
  </si>
  <si>
    <t>Nộp bài</t>
  </si>
  <si>
    <t>Nộp trước hạn, kiểm tra giờ chính thức trong thể lệ</t>
  </si>
  <si>
    <t>Hỗ trợ lỗi phút chót</t>
  </si>
  <si>
    <t>Đã nộp</t>
  </si>
  <si>
    <t>Phụ lục: preset đọc báo cáo đối soát Shopee / TikTok Shop</t>
  </si>
  <si>
    <t>Preset chỉ là bộ ánh xạ + quy tắc dựng sẵn cho file của sàn. Lõi sản phẩm vẫn hoạt động với file bất kỳ.</t>
  </si>
  <si>
    <t>Giúp shop bán trên sàn không phải ánh xạ cột thủ công, và cho dữ liệu demo sát thực tế.</t>
  </si>
  <si>
    <t>Báo cáo đối soát/thanh toán xuất từ Seller Centre (tên báo cáo và cột phải xác minh từ file thật).</t>
  </si>
  <si>
    <t>Mỗi dòng settlement → event payout vào expected_payout_date với số tiền = net_payout; nếu có hold → thêm event hold_release (+hold) vào ngày giải phóng.</t>
  </si>
  <si>
    <t>gross − platform_fee − refunds − shipping_or_COD_fee − hold so với net_payout; lệch quá P04 thì V21.</t>
  </si>
  <si>
    <t>Không làm</t>
  </si>
  <si>
    <t>Không viết cứng chính sách của sàn vào lõi; mọi mức phí/ngày là cấu hình của preset.</t>
  </si>
  <si>
    <t>Nguồn xác minh</t>
  </si>
  <si>
    <t>Workbook 'FlowWise_Shopee_TikTok_nghiep_vu.xlsx': tab Quy tắc nghiệp vụ và Cấu trúc settlement.</t>
  </si>
  <si>
    <t>Bảng ánh xạ cột (điền khi có file thật)</t>
  </si>
  <si>
    <t>Cột schema</t>
  </si>
  <si>
    <t>Đã xác minh</t>
  </si>
  <si>
    <t>Chưa</t>
  </si>
  <si>
    <t>platform_fee</t>
  </si>
  <si>
    <t>refunds</t>
  </si>
  <si>
    <t>shipping_or_COD_fee</t>
  </si>
  <si>
    <t>reserve_or_hold</t>
  </si>
  <si>
    <t>Thuật ngữ và cách viết trên giao diện</t>
  </si>
  <si>
    <t>Thuật ngữ nội bộ / UI hiện tại</t>
  </si>
  <si>
    <t>Nghĩa</t>
  </si>
  <si>
    <t>Nên hiển thị cho người dùng</t>
  </si>
  <si>
    <t>Một khoản tiền vào/ra có ngày, số tiền, đồng tiền</t>
  </si>
  <si>
    <t>Khoản tiền</t>
  </si>
  <si>
    <t>Ngày chốt số liệu; điểm bắt đầu Tuần 1</t>
  </si>
  <si>
    <t>Ngày chốt số liệu</t>
  </si>
  <si>
    <t>opening / closing</t>
  </si>
  <si>
    <t>Số dư đầu / cuối tuần</t>
  </si>
  <si>
    <t>Số dư đầu tuần / cuối tuần</t>
  </si>
  <si>
    <t>buffer</t>
  </si>
  <si>
    <t>Ngưỡng tiền an toàn tối thiểu</t>
  </si>
  <si>
    <t>Mức tiền an toàn</t>
  </si>
  <si>
    <t>BELOW_BUFFER</t>
  </si>
  <si>
    <t>Số dư thấp hơn ngưỡng nhưng chưa âm</t>
  </si>
  <si>
    <t>Dưới mức an toàn</t>
  </si>
  <si>
    <t>SHORTFALL</t>
  </si>
  <si>
    <t>Số dư âm</t>
  </si>
  <si>
    <t>Thiếu tiền</t>
  </si>
  <si>
    <t>baseline</t>
  </si>
  <si>
    <t>Dự báo khi không làm gì</t>
  </si>
  <si>
    <t>Hiện trạng</t>
  </si>
  <si>
    <t>Phương án thử nghiệm</t>
  </si>
  <si>
    <t>Phương án thử</t>
  </si>
  <si>
    <t>settlement / payout</t>
  </si>
  <si>
    <t>Kỳ đối soát và tiền sàn trả về</t>
  </si>
  <si>
    <t>Tiền sàn trả về</t>
  </si>
  <si>
    <t>reserve_or_hold / escrow</t>
  </si>
  <si>
    <t>Tiền sàn giữ lại tạm thời</t>
  </si>
  <si>
    <t>Tiền sàn đang giữ</t>
  </si>
  <si>
    <t>receivable / payable</t>
  </si>
  <si>
    <t>Khoản phải thu / phải trả</t>
  </si>
  <si>
    <t>Tiền khách nợ / Tiền phải trả</t>
  </si>
  <si>
    <t>Cockpit</t>
  </si>
  <si>
    <t>(thuật ngữ trên UI hiện tại)</t>
  </si>
  <si>
    <t>W2 Breach</t>
  </si>
  <si>
    <t>Tuần 2 dưới mức an toàn</t>
  </si>
  <si>
    <t>CFO Audit Sign-Off</t>
  </si>
  <si>
    <t>Deterministic Engine</t>
  </si>
  <si>
    <t>Cách tính cố định, có thể kiểm tra lại</t>
  </si>
  <si>
    <t>Thứ trong tuần (1-7) hoặc ngày trong tháng (1-31)</t>
  </si>
  <si>
    <t>FlowWise: đặc tả sản phẩm cho team</t>
  </si>
  <si>
    <t>Chốt các quyết định D01-D06; gửi workbook này cho dev</t>
  </si>
  <si>
    <t>Quyết định D01-D06 đã chốt</t>
  </si>
  <si>
    <t>TC01-TC06 chạy được</t>
  </si>
  <si>
    <t>Phỏng vấn 2-3 seller, xin file mẫu</t>
  </si>
  <si>
    <t>TC02-TC04, TC25 đạt</t>
  </si>
  <si>
    <t>V01-V10 có test</t>
  </si>
  <si>
    <t>TC22-TC24 đạt</t>
  </si>
  <si>
    <t>Màn hình M01-M08 chạy</t>
  </si>
  <si>
    <t>Tên cột thật - Shopee</t>
  </si>
  <si>
    <t>Tên cột thật - TikTok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</si>
</sst>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;\(#,##0\);\-"/>
    <numFmt numFmtId="166" formatCode="dd/mm"/>
  </numFmts>
  <fonts count="17" x14ac:knownFonts="1">
    <font>
      <sz val="11"/>
      <color theme="1"/>
      <name val="Calibri"/>
      <family val="2"/>
      <charset val="1"/>
    </font>
    <font>
      <b/>
      <sz val="14"/>
      <color rgb="FF0B7A55"/>
      <name val="Raleway"/>
    </font>
    <font>
      <sz val="11"/>
      <color theme="1"/>
      <name val="Raleway"/>
    </font>
    <font>
      <i/>
      <sz val="10"/>
      <color rgb="FF595959"/>
      <name val="Raleway"/>
    </font>
    <font>
      <b/>
      <sz val="10"/>
      <color rgb="FFFFFFFF"/>
      <name val="Raleway"/>
    </font>
    <font>
      <sz val="10"/>
      <color rgb="FF000000"/>
      <name val="Raleway"/>
    </font>
    <font>
      <sz val="10"/>
      <color rgb="FF0000FF"/>
      <name val="Raleway"/>
    </font>
    <font>
      <i/>
      <sz val="9"/>
      <color rgb="FF595959"/>
      <name val="Raleway"/>
    </font>
    <font>
      <b/>
      <sz val="11"/>
      <color rgb="FF0B7A55"/>
      <name val="Raleway"/>
    </font>
    <font>
      <b/>
      <sz val="16"/>
      <color rgb="FF0B7A55"/>
      <name val="Raleway"/>
    </font>
    <font>
      <sz val="10"/>
      <name val="Raleway"/>
    </font>
    <font>
      <b/>
      <sz val="10"/>
      <name val="Raleway"/>
    </font>
    <font>
      <b/>
      <sz val="10"/>
      <color rgb="FF008000"/>
      <name val="Raleway"/>
    </font>
    <font>
      <i/>
      <sz val="11"/>
      <color rgb="FF595959"/>
      <name val="Raleway"/>
    </font>
    <font>
      <b/>
      <sz val="11"/>
      <color rgb="FFFFFFFF"/>
      <name val="Raleway"/>
    </font>
    <font>
      <sz val="11"/>
      <color rgb="FF000000"/>
      <name val="Raleway"/>
    </font>
    <font>
      <sz val="10"/>
      <color rgb="FF008000"/>
      <name val="Raleway"/>
    </font>
  </fonts>
  <fills count="5">
    <fill>
      <patternFill patternType="none"/>
    </fill>
    <fill>
      <patternFill patternType="gray125"/>
    </fill>
    <fill>
      <patternFill patternType="solid">
        <fgColor rgb="FFE3F4EC"/>
        <bgColor rgb="FFDDEBF7"/>
      </patternFill>
    </fill>
    <fill>
      <patternFill patternType="solid">
        <fgColor rgb="FF0B7A55"/>
        <bgColor rgb="FF008080"/>
      </patternFill>
    </fill>
    <fill>
      <patternFill patternType="solid">
        <fgColor rgb="FFFFF9C4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" fillId="0" borderId="0" xfId="0" applyFont="1" applyAlignment="1">
      <alignment horizontal="left"/>
    </xf>
    <xf numFmtId="0" fontId="7" fillId="0" borderId="0" xfId="0" applyFont="1"/>
    <xf numFmtId="0" fontId="8" fillId="2" borderId="1" xfId="0" applyFont="1" applyFill="1" applyBorder="1"/>
    <xf numFmtId="0" fontId="2" fillId="2" borderId="1" xfId="0" applyFont="1" applyFill="1" applyBorder="1"/>
    <xf numFmtId="0" fontId="9" fillId="0" borderId="0" xfId="0" applyFont="1"/>
    <xf numFmtId="0" fontId="10" fillId="0" borderId="0" xfId="0" applyFont="1" applyBorder="1" applyAlignment="1">
      <alignment vertical="top" wrapText="1"/>
    </xf>
    <xf numFmtId="0" fontId="11" fillId="0" borderId="0" xfId="0" applyFont="1" applyBorder="1" applyAlignment="1">
      <alignment wrapText="1"/>
    </xf>
    <xf numFmtId="0" fontId="10" fillId="0" borderId="1" xfId="0" applyFont="1" applyBorder="1"/>
    <xf numFmtId="0" fontId="12" fillId="0" borderId="1" xfId="0" applyFont="1" applyBorder="1"/>
    <xf numFmtId="0" fontId="10" fillId="0" borderId="0" xfId="0" applyFont="1"/>
    <xf numFmtId="3" fontId="6" fillId="4" borderId="1" xfId="0" applyNumberFormat="1" applyFont="1" applyFill="1" applyBorder="1" applyAlignment="1">
      <alignment vertical="top" wrapText="1"/>
    </xf>
    <xf numFmtId="0" fontId="11" fillId="0" borderId="0" xfId="0" applyFont="1"/>
    <xf numFmtId="164" fontId="6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9" fontId="6" fillId="4" borderId="1" xfId="0" applyNumberFormat="1" applyFont="1" applyFill="1" applyBorder="1" applyAlignment="1">
      <alignment horizontal="right"/>
    </xf>
    <xf numFmtId="1" fontId="6" fillId="4" borderId="1" xfId="0" applyNumberFormat="1" applyFont="1" applyFill="1" applyBorder="1" applyAlignment="1">
      <alignment horizontal="right"/>
    </xf>
    <xf numFmtId="0" fontId="8" fillId="0" borderId="0" xfId="0" applyFont="1"/>
    <xf numFmtId="164" fontId="10" fillId="0" borderId="1" xfId="0" applyNumberFormat="1" applyFont="1" applyBorder="1"/>
    <xf numFmtId="165" fontId="10" fillId="0" borderId="1" xfId="0" applyNumberFormat="1" applyFont="1" applyBorder="1"/>
    <xf numFmtId="0" fontId="4" fillId="3" borderId="1" xfId="0" applyFont="1" applyFill="1" applyBorder="1"/>
    <xf numFmtId="1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0" fontId="5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164" fontId="5" fillId="0" borderId="1" xfId="0" applyNumberFormat="1" applyFont="1" applyBorder="1"/>
    <xf numFmtId="0" fontId="13" fillId="0" borderId="0" xfId="0" applyFont="1"/>
    <xf numFmtId="0" fontId="14" fillId="3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vertical="top" wrapText="1"/>
    </xf>
    <xf numFmtId="3" fontId="16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14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55"/>
      <rgbColor rgb="FFBFBFBF"/>
      <rgbColor rgb="FF808080"/>
      <rgbColor rgb="FF9999FF"/>
      <rgbColor rgb="FF7030A0"/>
      <rgbColor rgb="FFFFF9C4"/>
      <rgbColor rgb="FFE3F4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BF8F00"/>
      <rgbColor rgb="FFED7D31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7A55"/>
  </sheetPr>
  <dimension ref="A1:D43"/>
  <sheetViews>
    <sheetView tabSelected="1" zoomScaleNormal="100" workbookViewId="0">
      <selection activeCell="J8" sqref="J8"/>
    </sheetView>
  </sheetViews>
  <sheetFormatPr defaultColWidth="8.6640625" defaultRowHeight="17.399999999999999" x14ac:dyDescent="0.4"/>
  <cols>
    <col min="1" max="1" width="40" style="2" customWidth="1"/>
    <col min="2" max="2" width="16" style="2" customWidth="1"/>
    <col min="3" max="3" width="62" style="2" customWidth="1"/>
    <col min="4" max="4" width="4" style="2" customWidth="1"/>
    <col min="5" max="16384" width="8.6640625" style="2"/>
  </cols>
  <sheetData>
    <row r="1" spans="1:4" ht="25.2" x14ac:dyDescent="0.55000000000000004">
      <c r="A1" s="12" t="s">
        <v>1355</v>
      </c>
    </row>
    <row r="2" spans="1:4" x14ac:dyDescent="0.4">
      <c r="A2" s="10" t="s">
        <v>0</v>
      </c>
      <c r="B2" s="11"/>
      <c r="C2" s="11"/>
      <c r="D2" s="11"/>
    </row>
    <row r="3" spans="1:4" ht="30" customHeight="1" x14ac:dyDescent="0.4">
      <c r="A3" s="13" t="s">
        <v>1</v>
      </c>
      <c r="B3" s="13"/>
      <c r="C3" s="13"/>
      <c r="D3" s="13"/>
    </row>
    <row r="4" spans="1:4" ht="30" customHeight="1" x14ac:dyDescent="0.4">
      <c r="A4" s="13" t="s">
        <v>2</v>
      </c>
      <c r="B4" s="13"/>
      <c r="C4" s="13"/>
      <c r="D4" s="13"/>
    </row>
    <row r="5" spans="1:4" ht="30" customHeight="1" x14ac:dyDescent="0.4">
      <c r="A5" s="13" t="s">
        <v>3</v>
      </c>
      <c r="B5" s="13"/>
      <c r="C5" s="13"/>
      <c r="D5" s="13"/>
    </row>
    <row r="7" spans="1:4" x14ac:dyDescent="0.4">
      <c r="A7" s="10" t="s">
        <v>4</v>
      </c>
      <c r="B7" s="11"/>
      <c r="C7" s="11"/>
      <c r="D7" s="11"/>
    </row>
    <row r="8" spans="1:4" ht="31.5" customHeight="1" x14ac:dyDescent="0.4">
      <c r="A8" s="14" t="s">
        <v>5</v>
      </c>
      <c r="B8" s="14"/>
      <c r="C8" s="14"/>
      <c r="D8" s="14"/>
    </row>
    <row r="10" spans="1:4" x14ac:dyDescent="0.4">
      <c r="A10" s="10" t="s">
        <v>6</v>
      </c>
      <c r="B10" s="11"/>
      <c r="C10" s="11"/>
      <c r="D10" s="11"/>
    </row>
    <row r="11" spans="1:4" x14ac:dyDescent="0.4">
      <c r="A11" s="15" t="s">
        <v>7</v>
      </c>
      <c r="B11" s="16">
        <f>COUNTIF('Phạm vi MVP'!D5:D28,"P0")</f>
        <v>11</v>
      </c>
    </row>
    <row r="12" spans="1:4" x14ac:dyDescent="0.4">
      <c r="A12" s="15" t="s">
        <v>8</v>
      </c>
      <c r="B12" s="16">
        <f>COUNTIFS('Phạm vi MVP'!D5:D28,"P0",'Phạm vi MVP'!H5:H28,"Xong")</f>
        <v>0</v>
      </c>
    </row>
    <row r="13" spans="1:4" x14ac:dyDescent="0.4">
      <c r="A13" s="15" t="s">
        <v>9</v>
      </c>
      <c r="B13" s="16">
        <f>COUNTIF('Phạm vi MVP'!D5:D28,"P1")</f>
        <v>8</v>
      </c>
    </row>
    <row r="14" spans="1:4" x14ac:dyDescent="0.4">
      <c r="A14" s="15" t="s">
        <v>10</v>
      </c>
      <c r="B14" s="16">
        <f>COUNTA('Quy tắc dữ liệu'!A5:A29)</f>
        <v>25</v>
      </c>
    </row>
    <row r="15" spans="1:4" x14ac:dyDescent="0.4">
      <c r="A15" s="15" t="s">
        <v>11</v>
      </c>
      <c r="B15" s="16">
        <f>COUNTA('Test case'!A5:A30)</f>
        <v>26</v>
      </c>
    </row>
    <row r="16" spans="1:4" x14ac:dyDescent="0.4">
      <c r="A16" s="15" t="s">
        <v>12</v>
      </c>
      <c r="B16" s="16">
        <f>COUNTIF('Test case'!H5:H30,"Đạt")</f>
        <v>0</v>
      </c>
    </row>
    <row r="17" spans="1:4" x14ac:dyDescent="0.4">
      <c r="A17" s="15" t="s">
        <v>13</v>
      </c>
      <c r="B17" s="16">
        <f>COUNTIF('Quyết định mở'!I2:I14,"Chưa chốt")</f>
        <v>13</v>
      </c>
    </row>
    <row r="19" spans="1:4" x14ac:dyDescent="0.4">
      <c r="A19" s="10" t="s">
        <v>14</v>
      </c>
      <c r="B19" s="11"/>
      <c r="C19" s="11"/>
      <c r="D19" s="11"/>
    </row>
    <row r="20" spans="1:4" x14ac:dyDescent="0.4">
      <c r="A20" s="4" t="s">
        <v>15</v>
      </c>
      <c r="B20" s="4" t="s">
        <v>16</v>
      </c>
      <c r="C20" s="4" t="s">
        <v>17</v>
      </c>
      <c r="D20" s="4"/>
    </row>
    <row r="21" spans="1:4" x14ac:dyDescent="0.4">
      <c r="A21" s="6" t="s">
        <v>18</v>
      </c>
      <c r="B21" s="6" t="s">
        <v>19</v>
      </c>
      <c r="C21" s="6" t="s">
        <v>20</v>
      </c>
      <c r="D21" s="6"/>
    </row>
    <row r="22" spans="1:4" x14ac:dyDescent="0.4">
      <c r="A22" s="6" t="s">
        <v>21</v>
      </c>
      <c r="B22" s="6" t="s">
        <v>22</v>
      </c>
      <c r="C22" s="6" t="s">
        <v>23</v>
      </c>
      <c r="D22" s="6"/>
    </row>
    <row r="23" spans="1:4" x14ac:dyDescent="0.4">
      <c r="A23" s="6" t="s">
        <v>24</v>
      </c>
      <c r="B23" s="6" t="s">
        <v>22</v>
      </c>
      <c r="C23" s="6" t="s">
        <v>25</v>
      </c>
      <c r="D23" s="6"/>
    </row>
    <row r="24" spans="1:4" x14ac:dyDescent="0.4">
      <c r="A24" s="6" t="s">
        <v>26</v>
      </c>
      <c r="B24" s="6" t="s">
        <v>22</v>
      </c>
      <c r="C24" s="6" t="s">
        <v>27</v>
      </c>
      <c r="D24" s="6"/>
    </row>
    <row r="25" spans="1:4" x14ac:dyDescent="0.4">
      <c r="A25" s="6" t="s">
        <v>28</v>
      </c>
      <c r="B25" s="6" t="s">
        <v>22</v>
      </c>
      <c r="C25" s="6" t="s">
        <v>29</v>
      </c>
      <c r="D25" s="6"/>
    </row>
    <row r="26" spans="1:4" x14ac:dyDescent="0.4">
      <c r="A26" s="6" t="s">
        <v>30</v>
      </c>
      <c r="B26" s="6" t="s">
        <v>22</v>
      </c>
      <c r="C26" s="6" t="s">
        <v>31</v>
      </c>
      <c r="D26" s="6"/>
    </row>
    <row r="27" spans="1:4" x14ac:dyDescent="0.4">
      <c r="A27" s="6" t="s">
        <v>32</v>
      </c>
      <c r="B27" s="6" t="s">
        <v>33</v>
      </c>
      <c r="C27" s="6" t="s">
        <v>34</v>
      </c>
      <c r="D27" s="6"/>
    </row>
    <row r="28" spans="1:4" x14ac:dyDescent="0.4">
      <c r="A28" s="6" t="s">
        <v>35</v>
      </c>
      <c r="B28" s="6" t="s">
        <v>22</v>
      </c>
      <c r="C28" s="6" t="s">
        <v>36</v>
      </c>
      <c r="D28" s="6"/>
    </row>
    <row r="29" spans="1:4" x14ac:dyDescent="0.4">
      <c r="A29" s="6" t="s">
        <v>37</v>
      </c>
      <c r="B29" s="6" t="s">
        <v>22</v>
      </c>
      <c r="C29" s="6" t="s">
        <v>38</v>
      </c>
      <c r="D29" s="6"/>
    </row>
    <row r="30" spans="1:4" x14ac:dyDescent="0.4">
      <c r="A30" s="6" t="s">
        <v>39</v>
      </c>
      <c r="B30" s="6" t="s">
        <v>40</v>
      </c>
      <c r="C30" s="6" t="s">
        <v>41</v>
      </c>
      <c r="D30" s="6"/>
    </row>
    <row r="31" spans="1:4" x14ac:dyDescent="0.4">
      <c r="A31" s="6" t="s">
        <v>42</v>
      </c>
      <c r="B31" s="6" t="s">
        <v>22</v>
      </c>
      <c r="C31" s="6" t="s">
        <v>43</v>
      </c>
      <c r="D31" s="6"/>
    </row>
    <row r="32" spans="1:4" x14ac:dyDescent="0.4">
      <c r="A32" s="6" t="s">
        <v>44</v>
      </c>
      <c r="B32" s="6" t="s">
        <v>45</v>
      </c>
      <c r="C32" s="6" t="s">
        <v>46</v>
      </c>
      <c r="D32" s="6"/>
    </row>
    <row r="33" spans="1:4" x14ac:dyDescent="0.4">
      <c r="A33" s="6" t="s">
        <v>47</v>
      </c>
      <c r="B33" s="6" t="s">
        <v>22</v>
      </c>
      <c r="C33" s="6" t="s">
        <v>48</v>
      </c>
      <c r="D33" s="6"/>
    </row>
    <row r="34" spans="1:4" x14ac:dyDescent="0.4">
      <c r="A34" s="6" t="s">
        <v>49</v>
      </c>
      <c r="B34" s="6" t="s">
        <v>50</v>
      </c>
      <c r="C34" s="6" t="s">
        <v>51</v>
      </c>
      <c r="D34" s="6"/>
    </row>
    <row r="35" spans="1:4" x14ac:dyDescent="0.4">
      <c r="A35" s="6" t="s">
        <v>52</v>
      </c>
      <c r="B35" s="6" t="s">
        <v>19</v>
      </c>
      <c r="C35" s="6" t="s">
        <v>53</v>
      </c>
      <c r="D35" s="6"/>
    </row>
    <row r="36" spans="1:4" x14ac:dyDescent="0.4">
      <c r="A36" s="6" t="s">
        <v>54</v>
      </c>
      <c r="B36" s="6" t="s">
        <v>22</v>
      </c>
      <c r="C36" s="6" t="s">
        <v>55</v>
      </c>
      <c r="D36" s="6"/>
    </row>
    <row r="37" spans="1:4" x14ac:dyDescent="0.4">
      <c r="A37" s="6" t="s">
        <v>56</v>
      </c>
      <c r="B37" s="6" t="s">
        <v>19</v>
      </c>
      <c r="C37" s="6" t="s">
        <v>57</v>
      </c>
      <c r="D37" s="6"/>
    </row>
    <row r="39" spans="1:4" x14ac:dyDescent="0.4">
      <c r="A39" s="10" t="s">
        <v>58</v>
      </c>
      <c r="B39" s="11"/>
      <c r="C39" s="11"/>
      <c r="D39" s="11"/>
    </row>
    <row r="40" spans="1:4" x14ac:dyDescent="0.4">
      <c r="A40" s="17" t="s">
        <v>59</v>
      </c>
    </row>
    <row r="41" spans="1:4" x14ac:dyDescent="0.4">
      <c r="A41" s="17" t="s">
        <v>60</v>
      </c>
    </row>
    <row r="42" spans="1:4" x14ac:dyDescent="0.4">
      <c r="A42" s="17" t="s">
        <v>61</v>
      </c>
    </row>
    <row r="43" spans="1:4" x14ac:dyDescent="0.4">
      <c r="A43" s="17" t="s">
        <v>62</v>
      </c>
    </row>
  </sheetData>
  <mergeCells count="4">
    <mergeCell ref="A3:D3"/>
    <mergeCell ref="A4:D4"/>
    <mergeCell ref="A5:D5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7A55"/>
  </sheetPr>
  <dimension ref="A1:I28"/>
  <sheetViews>
    <sheetView zoomScaleNormal="100" workbookViewId="0">
      <pane xSplit="2" ySplit="4" topLeftCell="D20" activePane="bottomRight" state="frozen"/>
      <selection pane="topRight" activeCell="C1" sqref="C1"/>
      <selection pane="bottomLeft" activeCell="A5" sqref="A5"/>
      <selection pane="bottomRight" activeCell="C8" sqref="C8"/>
    </sheetView>
  </sheetViews>
  <sheetFormatPr defaultColWidth="8.6640625" defaultRowHeight="17.399999999999999" x14ac:dyDescent="0.4"/>
  <cols>
    <col min="1" max="1" width="7" style="2" customWidth="1"/>
    <col min="2" max="2" width="28.33203125" style="2" customWidth="1"/>
    <col min="3" max="3" width="56" style="2" customWidth="1"/>
    <col min="4" max="4" width="9" style="2" customWidth="1"/>
    <col min="5" max="5" width="12" style="2" customWidth="1"/>
    <col min="6" max="6" width="56" style="2" customWidth="1"/>
    <col min="7" max="7" width="14" style="2" customWidth="1"/>
    <col min="8" max="8" width="13" style="2" customWidth="1"/>
    <col min="9" max="9" width="26" style="2" customWidth="1"/>
    <col min="10" max="16384" width="8.6640625" style="2"/>
  </cols>
  <sheetData>
    <row r="1" spans="1:9" ht="22.2" x14ac:dyDescent="0.5">
      <c r="A1" s="8" t="s">
        <v>63</v>
      </c>
      <c r="B1" s="8"/>
      <c r="C1" s="8"/>
    </row>
    <row r="2" spans="1:9" x14ac:dyDescent="0.4">
      <c r="A2" s="3" t="s">
        <v>64</v>
      </c>
    </row>
    <row r="4" spans="1:9" x14ac:dyDescent="0.4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</row>
    <row r="5" spans="1:9" ht="33.6" x14ac:dyDescent="0.4">
      <c r="A5" s="5" t="s">
        <v>74</v>
      </c>
      <c r="B5" s="6" t="s">
        <v>75</v>
      </c>
      <c r="C5" s="6" t="s">
        <v>76</v>
      </c>
      <c r="D5" s="5" t="s">
        <v>77</v>
      </c>
      <c r="E5" s="6" t="s">
        <v>78</v>
      </c>
      <c r="F5" s="6" t="s">
        <v>79</v>
      </c>
      <c r="G5" s="7"/>
      <c r="H5" s="7" t="s">
        <v>80</v>
      </c>
      <c r="I5" s="7"/>
    </row>
    <row r="6" spans="1:9" ht="33.6" x14ac:dyDescent="0.4">
      <c r="A6" s="5" t="s">
        <v>81</v>
      </c>
      <c r="B6" s="6" t="s">
        <v>24</v>
      </c>
      <c r="C6" s="6" t="s">
        <v>82</v>
      </c>
      <c r="D6" s="5" t="s">
        <v>77</v>
      </c>
      <c r="E6" s="6" t="s">
        <v>74</v>
      </c>
      <c r="F6" s="6" t="s">
        <v>83</v>
      </c>
      <c r="G6" s="7"/>
      <c r="H6" s="7" t="s">
        <v>80</v>
      </c>
      <c r="I6" s="7"/>
    </row>
    <row r="7" spans="1:9" ht="33.6" x14ac:dyDescent="0.4">
      <c r="A7" s="5" t="s">
        <v>84</v>
      </c>
      <c r="B7" s="6" t="s">
        <v>85</v>
      </c>
      <c r="C7" s="6" t="s">
        <v>86</v>
      </c>
      <c r="D7" s="5" t="s">
        <v>77</v>
      </c>
      <c r="E7" s="6" t="s">
        <v>81</v>
      </c>
      <c r="F7" s="6" t="s">
        <v>87</v>
      </c>
      <c r="G7" s="7"/>
      <c r="H7" s="7" t="s">
        <v>80</v>
      </c>
      <c r="I7" s="7"/>
    </row>
    <row r="8" spans="1:9" ht="33.6" x14ac:dyDescent="0.4">
      <c r="A8" s="5" t="s">
        <v>88</v>
      </c>
      <c r="B8" s="6" t="s">
        <v>89</v>
      </c>
      <c r="C8" s="6" t="s">
        <v>90</v>
      </c>
      <c r="D8" s="5" t="s">
        <v>77</v>
      </c>
      <c r="E8" s="6" t="s">
        <v>84</v>
      </c>
      <c r="F8" s="6" t="s">
        <v>91</v>
      </c>
      <c r="G8" s="7"/>
      <c r="H8" s="7" t="s">
        <v>80</v>
      </c>
      <c r="I8" s="7"/>
    </row>
    <row r="9" spans="1:9" ht="33.6" x14ac:dyDescent="0.4">
      <c r="A9" s="5" t="s">
        <v>92</v>
      </c>
      <c r="B9" s="6" t="s">
        <v>93</v>
      </c>
      <c r="C9" s="6" t="s">
        <v>94</v>
      </c>
      <c r="D9" s="5" t="s">
        <v>77</v>
      </c>
      <c r="E9" s="6" t="s">
        <v>78</v>
      </c>
      <c r="F9" s="6" t="s">
        <v>95</v>
      </c>
      <c r="G9" s="7"/>
      <c r="H9" s="7" t="s">
        <v>80</v>
      </c>
      <c r="I9" s="7"/>
    </row>
    <row r="10" spans="1:9" x14ac:dyDescent="0.4">
      <c r="A10" s="5" t="s">
        <v>96</v>
      </c>
      <c r="B10" s="6" t="s">
        <v>97</v>
      </c>
      <c r="C10" s="6" t="s">
        <v>98</v>
      </c>
      <c r="D10" s="5" t="s">
        <v>77</v>
      </c>
      <c r="E10" s="6" t="s">
        <v>99</v>
      </c>
      <c r="F10" s="6" t="s">
        <v>100</v>
      </c>
      <c r="G10" s="7"/>
      <c r="H10" s="7" t="s">
        <v>80</v>
      </c>
      <c r="I10" s="7"/>
    </row>
    <row r="11" spans="1:9" ht="33.6" x14ac:dyDescent="0.4">
      <c r="A11" s="5" t="s">
        <v>101</v>
      </c>
      <c r="B11" s="6" t="s">
        <v>102</v>
      </c>
      <c r="C11" s="6" t="s">
        <v>103</v>
      </c>
      <c r="D11" s="5" t="s">
        <v>104</v>
      </c>
      <c r="E11" s="6" t="s">
        <v>96</v>
      </c>
      <c r="F11" s="6" t="s">
        <v>105</v>
      </c>
      <c r="G11" s="7"/>
      <c r="H11" s="7" t="s">
        <v>80</v>
      </c>
      <c r="I11" s="7"/>
    </row>
    <row r="12" spans="1:9" ht="33.6" x14ac:dyDescent="0.4">
      <c r="A12" s="5" t="s">
        <v>106</v>
      </c>
      <c r="B12" s="6" t="s">
        <v>107</v>
      </c>
      <c r="C12" s="6" t="s">
        <v>108</v>
      </c>
      <c r="D12" s="5" t="s">
        <v>77</v>
      </c>
      <c r="E12" s="6" t="s">
        <v>96</v>
      </c>
      <c r="F12" s="6" t="s">
        <v>109</v>
      </c>
      <c r="G12" s="7"/>
      <c r="H12" s="7" t="s">
        <v>80</v>
      </c>
      <c r="I12" s="7"/>
    </row>
    <row r="13" spans="1:9" x14ac:dyDescent="0.4">
      <c r="A13" s="5" t="s">
        <v>110</v>
      </c>
      <c r="B13" s="6" t="s">
        <v>111</v>
      </c>
      <c r="C13" s="6" t="s">
        <v>112</v>
      </c>
      <c r="D13" s="5" t="s">
        <v>77</v>
      </c>
      <c r="E13" s="6" t="s">
        <v>96</v>
      </c>
      <c r="F13" s="6" t="s">
        <v>113</v>
      </c>
      <c r="G13" s="7"/>
      <c r="H13" s="7" t="s">
        <v>80</v>
      </c>
      <c r="I13" s="7"/>
    </row>
    <row r="14" spans="1:9" x14ac:dyDescent="0.4">
      <c r="A14" s="5" t="s">
        <v>114</v>
      </c>
      <c r="B14" s="6" t="s">
        <v>115</v>
      </c>
      <c r="C14" s="6" t="s">
        <v>116</v>
      </c>
      <c r="D14" s="5" t="s">
        <v>104</v>
      </c>
      <c r="E14" s="6" t="s">
        <v>96</v>
      </c>
      <c r="F14" s="6" t="s">
        <v>117</v>
      </c>
      <c r="G14" s="7"/>
      <c r="H14" s="7" t="s">
        <v>80</v>
      </c>
      <c r="I14" s="7"/>
    </row>
    <row r="15" spans="1:9" x14ac:dyDescent="0.4">
      <c r="A15" s="5" t="s">
        <v>118</v>
      </c>
      <c r="B15" s="6" t="s">
        <v>119</v>
      </c>
      <c r="C15" s="6" t="s">
        <v>120</v>
      </c>
      <c r="D15" s="5" t="s">
        <v>104</v>
      </c>
      <c r="E15" s="6" t="s">
        <v>96</v>
      </c>
      <c r="F15" s="6" t="s">
        <v>121</v>
      </c>
      <c r="G15" s="7"/>
      <c r="H15" s="7" t="s">
        <v>80</v>
      </c>
      <c r="I15" s="7"/>
    </row>
    <row r="16" spans="1:9" ht="33.6" x14ac:dyDescent="0.4">
      <c r="A16" s="5" t="s">
        <v>122</v>
      </c>
      <c r="B16" s="6" t="s">
        <v>123</v>
      </c>
      <c r="C16" s="6" t="s">
        <v>124</v>
      </c>
      <c r="D16" s="5" t="s">
        <v>77</v>
      </c>
      <c r="E16" s="6" t="s">
        <v>110</v>
      </c>
      <c r="F16" s="6" t="s">
        <v>125</v>
      </c>
      <c r="G16" s="7"/>
      <c r="H16" s="7" t="s">
        <v>80</v>
      </c>
      <c r="I16" s="7"/>
    </row>
    <row r="17" spans="1:9" ht="33.6" x14ac:dyDescent="0.4">
      <c r="A17" s="5" t="s">
        <v>126</v>
      </c>
      <c r="B17" s="6" t="s">
        <v>127</v>
      </c>
      <c r="C17" s="6" t="s">
        <v>128</v>
      </c>
      <c r="D17" s="5" t="s">
        <v>77</v>
      </c>
      <c r="E17" s="6" t="s">
        <v>129</v>
      </c>
      <c r="F17" s="6" t="s">
        <v>130</v>
      </c>
      <c r="G17" s="7"/>
      <c r="H17" s="7" t="s">
        <v>80</v>
      </c>
      <c r="I17" s="7"/>
    </row>
    <row r="18" spans="1:9" ht="33.6" x14ac:dyDescent="0.4">
      <c r="A18" s="5" t="s">
        <v>131</v>
      </c>
      <c r="B18" s="6" t="s">
        <v>132</v>
      </c>
      <c r="C18" s="6" t="s">
        <v>133</v>
      </c>
      <c r="D18" s="5" t="s">
        <v>104</v>
      </c>
      <c r="E18" s="6" t="s">
        <v>96</v>
      </c>
      <c r="F18" s="6" t="s">
        <v>134</v>
      </c>
      <c r="G18" s="7"/>
      <c r="H18" s="7" t="s">
        <v>80</v>
      </c>
      <c r="I18" s="7"/>
    </row>
    <row r="19" spans="1:9" ht="33.6" x14ac:dyDescent="0.4">
      <c r="A19" s="5" t="s">
        <v>135</v>
      </c>
      <c r="B19" s="6" t="s">
        <v>136</v>
      </c>
      <c r="C19" s="6" t="s">
        <v>137</v>
      </c>
      <c r="D19" s="5" t="s">
        <v>104</v>
      </c>
      <c r="E19" s="6" t="s">
        <v>122</v>
      </c>
      <c r="F19" s="6" t="s">
        <v>138</v>
      </c>
      <c r="G19" s="7"/>
      <c r="H19" s="7" t="s">
        <v>80</v>
      </c>
      <c r="I19" s="7"/>
    </row>
    <row r="20" spans="1:9" ht="33.6" x14ac:dyDescent="0.4">
      <c r="A20" s="5" t="s">
        <v>139</v>
      </c>
      <c r="B20" s="6" t="s">
        <v>140</v>
      </c>
      <c r="C20" s="6" t="s">
        <v>141</v>
      </c>
      <c r="D20" s="5" t="s">
        <v>104</v>
      </c>
      <c r="E20" s="6" t="s">
        <v>122</v>
      </c>
      <c r="F20" s="6" t="s">
        <v>142</v>
      </c>
      <c r="G20" s="7"/>
      <c r="H20" s="7" t="s">
        <v>80</v>
      </c>
      <c r="I20" s="7"/>
    </row>
    <row r="21" spans="1:9" ht="33.6" x14ac:dyDescent="0.4">
      <c r="A21" s="5" t="s">
        <v>143</v>
      </c>
      <c r="B21" s="6" t="s">
        <v>144</v>
      </c>
      <c r="C21" s="6" t="s">
        <v>145</v>
      </c>
      <c r="D21" s="5" t="s">
        <v>146</v>
      </c>
      <c r="E21" s="6" t="s">
        <v>139</v>
      </c>
      <c r="F21" s="6" t="s">
        <v>147</v>
      </c>
      <c r="G21" s="7"/>
      <c r="H21" s="7" t="s">
        <v>80</v>
      </c>
      <c r="I21" s="7"/>
    </row>
    <row r="22" spans="1:9" ht="33.6" x14ac:dyDescent="0.4">
      <c r="A22" s="5" t="s">
        <v>148</v>
      </c>
      <c r="B22" s="6" t="s">
        <v>149</v>
      </c>
      <c r="C22" s="6" t="s">
        <v>150</v>
      </c>
      <c r="D22" s="5" t="s">
        <v>104</v>
      </c>
      <c r="E22" s="6" t="s">
        <v>88</v>
      </c>
      <c r="F22" s="6" t="s">
        <v>151</v>
      </c>
      <c r="G22" s="7"/>
      <c r="H22" s="7" t="s">
        <v>80</v>
      </c>
      <c r="I22" s="7"/>
    </row>
    <row r="23" spans="1:9" ht="33.6" x14ac:dyDescent="0.4">
      <c r="A23" s="5" t="s">
        <v>152</v>
      </c>
      <c r="B23" s="6" t="s">
        <v>153</v>
      </c>
      <c r="C23" s="6" t="s">
        <v>154</v>
      </c>
      <c r="D23" s="5" t="s">
        <v>77</v>
      </c>
      <c r="E23" s="6" t="s">
        <v>78</v>
      </c>
      <c r="F23" s="6" t="s">
        <v>155</v>
      </c>
      <c r="G23" s="7"/>
      <c r="H23" s="7" t="s">
        <v>80</v>
      </c>
      <c r="I23" s="7"/>
    </row>
    <row r="24" spans="1:9" x14ac:dyDescent="0.4">
      <c r="A24" s="5" t="s">
        <v>156</v>
      </c>
      <c r="B24" s="6" t="s">
        <v>157</v>
      </c>
      <c r="C24" s="6" t="s">
        <v>158</v>
      </c>
      <c r="D24" s="5" t="s">
        <v>146</v>
      </c>
      <c r="E24" s="6" t="s">
        <v>78</v>
      </c>
      <c r="F24" s="6" t="s">
        <v>159</v>
      </c>
      <c r="G24" s="7"/>
      <c r="H24" s="7" t="s">
        <v>80</v>
      </c>
      <c r="I24" s="7"/>
    </row>
    <row r="25" spans="1:9" ht="33.6" x14ac:dyDescent="0.4">
      <c r="A25" s="5" t="s">
        <v>160</v>
      </c>
      <c r="B25" s="6" t="s">
        <v>161</v>
      </c>
      <c r="C25" s="6" t="s">
        <v>162</v>
      </c>
      <c r="D25" s="5" t="s">
        <v>104</v>
      </c>
      <c r="E25" s="6" t="s">
        <v>96</v>
      </c>
      <c r="F25" s="6" t="s">
        <v>163</v>
      </c>
      <c r="G25" s="7"/>
      <c r="H25" s="7" t="s">
        <v>80</v>
      </c>
      <c r="I25" s="7"/>
    </row>
    <row r="26" spans="1:9" x14ac:dyDescent="0.4">
      <c r="A26" s="5" t="s">
        <v>164</v>
      </c>
      <c r="B26" s="6" t="s">
        <v>165</v>
      </c>
      <c r="C26" s="6" t="s">
        <v>166</v>
      </c>
      <c r="D26" s="5" t="s">
        <v>167</v>
      </c>
      <c r="E26" s="6" t="s">
        <v>78</v>
      </c>
      <c r="F26" s="6" t="s">
        <v>168</v>
      </c>
      <c r="G26" s="7"/>
      <c r="H26" s="7" t="s">
        <v>80</v>
      </c>
      <c r="I26" s="7"/>
    </row>
    <row r="27" spans="1:9" x14ac:dyDescent="0.4">
      <c r="A27" s="5" t="s">
        <v>169</v>
      </c>
      <c r="B27" s="6" t="s">
        <v>170</v>
      </c>
      <c r="C27" s="6" t="s">
        <v>171</v>
      </c>
      <c r="D27" s="5" t="s">
        <v>167</v>
      </c>
      <c r="E27" s="6" t="s">
        <v>78</v>
      </c>
      <c r="F27" s="6" t="s">
        <v>172</v>
      </c>
      <c r="G27" s="7"/>
      <c r="H27" s="7" t="s">
        <v>80</v>
      </c>
      <c r="I27" s="7"/>
    </row>
    <row r="28" spans="1:9" x14ac:dyDescent="0.4">
      <c r="A28" s="5" t="s">
        <v>173</v>
      </c>
      <c r="B28" s="6" t="s">
        <v>174</v>
      </c>
      <c r="C28" s="6" t="s">
        <v>175</v>
      </c>
      <c r="D28" s="5" t="s">
        <v>167</v>
      </c>
      <c r="E28" s="6" t="s">
        <v>78</v>
      </c>
      <c r="F28" s="6" t="s">
        <v>176</v>
      </c>
      <c r="G28" s="7"/>
      <c r="H28" s="7" t="s">
        <v>80</v>
      </c>
      <c r="I28" s="7"/>
    </row>
  </sheetData>
  <mergeCells count="1">
    <mergeCell ref="A1:C1"/>
  </mergeCells>
  <conditionalFormatting sqref="D5:D28">
    <cfRule type="cellIs" dxfId="13" priority="2" operator="equal">
      <formula>"P0"</formula>
    </cfRule>
    <cfRule type="cellIs" dxfId="12" priority="3" operator="equal">
      <formula>"P1"</formula>
    </cfRule>
    <cfRule type="cellIs" dxfId="11" priority="4" operator="equal">
      <formula>"P2"</formula>
    </cfRule>
    <cfRule type="cellIs" dxfId="10" priority="5" operator="equal">
      <formula>"KHÔNG"</formula>
    </cfRule>
  </conditionalFormatting>
  <dataValidations count="1">
    <dataValidation type="list" allowBlank="1" sqref="H5:H28" xr:uid="{00000000-0002-0000-0100-000000000000}">
      <formula1>"Chưa làm,Đang làm,Xong,Bị chặn"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I47"/>
  <sheetViews>
    <sheetView zoomScaleNormal="100" workbookViewId="0">
      <pane xSplit="2" ySplit="4" topLeftCell="C33" activePane="bottomRight" state="frozen"/>
      <selection pane="topRight" activeCell="C1" sqref="C1"/>
      <selection pane="bottomLeft" activeCell="A5" sqref="A5"/>
      <selection pane="bottomRight" activeCell="F38" sqref="F38"/>
    </sheetView>
  </sheetViews>
  <sheetFormatPr defaultColWidth="8.6640625" defaultRowHeight="17.399999999999999" x14ac:dyDescent="0.4"/>
  <cols>
    <col min="1" max="1" width="22" style="2" customWidth="1"/>
    <col min="2" max="2" width="30" style="2" customWidth="1"/>
    <col min="3" max="3" width="13" style="2" customWidth="1"/>
    <col min="4" max="4" width="14" style="2" customWidth="1"/>
    <col min="5" max="5" width="32" style="2" customWidth="1"/>
    <col min="6" max="7" width="30" style="2" customWidth="1"/>
    <col min="8" max="8" width="18" style="2" customWidth="1"/>
    <col min="9" max="9" width="40" style="2" customWidth="1"/>
    <col min="10" max="16384" width="8.6640625" style="2"/>
  </cols>
  <sheetData>
    <row r="1" spans="1:9" ht="22.2" x14ac:dyDescent="0.5">
      <c r="A1" s="1" t="s">
        <v>177</v>
      </c>
    </row>
    <row r="2" spans="1:9" x14ac:dyDescent="0.4">
      <c r="A2" s="3" t="s">
        <v>178</v>
      </c>
    </row>
    <row r="4" spans="1:9" ht="33.6" x14ac:dyDescent="0.4">
      <c r="A4" s="4" t="s">
        <v>179</v>
      </c>
      <c r="B4" s="4" t="s">
        <v>180</v>
      </c>
      <c r="C4" s="4" t="s">
        <v>181</v>
      </c>
      <c r="D4" s="4" t="s">
        <v>182</v>
      </c>
      <c r="E4" s="4" t="s">
        <v>183</v>
      </c>
      <c r="F4" s="4" t="s">
        <v>184</v>
      </c>
      <c r="G4" s="4" t="s">
        <v>185</v>
      </c>
      <c r="H4" s="4" t="s">
        <v>186</v>
      </c>
      <c r="I4" s="4" t="s">
        <v>187</v>
      </c>
    </row>
    <row r="5" spans="1:9" ht="33.6" x14ac:dyDescent="0.4">
      <c r="A5" s="6" t="s">
        <v>188</v>
      </c>
      <c r="B5" s="6" t="s">
        <v>189</v>
      </c>
      <c r="C5" s="5" t="s">
        <v>190</v>
      </c>
      <c r="D5" s="6" t="s">
        <v>191</v>
      </c>
      <c r="E5" s="6" t="s">
        <v>192</v>
      </c>
      <c r="F5" s="6" t="s">
        <v>193</v>
      </c>
      <c r="G5" s="6" t="s">
        <v>194</v>
      </c>
      <c r="H5" s="6" t="s">
        <v>195</v>
      </c>
      <c r="I5" s="6" t="s">
        <v>196</v>
      </c>
    </row>
    <row r="6" spans="1:9" x14ac:dyDescent="0.4">
      <c r="A6" s="6" t="s">
        <v>188</v>
      </c>
      <c r="B6" s="6" t="s">
        <v>197</v>
      </c>
      <c r="C6" s="5" t="s">
        <v>198</v>
      </c>
      <c r="D6" s="6" t="s">
        <v>199</v>
      </c>
      <c r="E6" s="6" t="s">
        <v>200</v>
      </c>
      <c r="F6" s="6" t="s">
        <v>201</v>
      </c>
      <c r="G6" s="6" t="s">
        <v>202</v>
      </c>
      <c r="H6" s="6" t="s">
        <v>203</v>
      </c>
      <c r="I6" s="6" t="s">
        <v>204</v>
      </c>
    </row>
    <row r="7" spans="1:9" x14ac:dyDescent="0.4">
      <c r="A7" s="6" t="s">
        <v>188</v>
      </c>
      <c r="B7" s="6" t="s">
        <v>205</v>
      </c>
      <c r="C7" s="5" t="s">
        <v>198</v>
      </c>
      <c r="D7" s="6" t="s">
        <v>206</v>
      </c>
      <c r="E7" s="6" t="s">
        <v>207</v>
      </c>
      <c r="F7" s="6" t="s">
        <v>208</v>
      </c>
      <c r="G7" s="6" t="s">
        <v>209</v>
      </c>
      <c r="H7" s="6" t="s">
        <v>210</v>
      </c>
      <c r="I7" s="6" t="s">
        <v>211</v>
      </c>
    </row>
    <row r="8" spans="1:9" x14ac:dyDescent="0.4">
      <c r="A8" s="6" t="s">
        <v>188</v>
      </c>
      <c r="B8" s="6" t="s">
        <v>212</v>
      </c>
      <c r="C8" s="5" t="s">
        <v>198</v>
      </c>
      <c r="D8" s="6" t="s">
        <v>206</v>
      </c>
      <c r="E8" s="6" t="s">
        <v>213</v>
      </c>
      <c r="F8" s="6" t="s">
        <v>214</v>
      </c>
      <c r="G8" s="6" t="s">
        <v>209</v>
      </c>
      <c r="H8" s="6" t="s">
        <v>210</v>
      </c>
      <c r="I8" s="6" t="s">
        <v>215</v>
      </c>
    </row>
    <row r="9" spans="1:9" x14ac:dyDescent="0.4">
      <c r="A9" s="6" t="s">
        <v>188</v>
      </c>
      <c r="B9" s="6" t="s">
        <v>216</v>
      </c>
      <c r="C9" s="5" t="s">
        <v>217</v>
      </c>
      <c r="D9" s="6" t="s">
        <v>218</v>
      </c>
      <c r="E9" s="6" t="s">
        <v>219</v>
      </c>
      <c r="F9" s="6" t="s">
        <v>220</v>
      </c>
      <c r="G9" s="6" t="s">
        <v>221</v>
      </c>
      <c r="H9" s="6" t="s">
        <v>222</v>
      </c>
      <c r="I9" s="6" t="s">
        <v>223</v>
      </c>
    </row>
    <row r="10" spans="1:9" x14ac:dyDescent="0.4">
      <c r="A10" s="6" t="s">
        <v>188</v>
      </c>
      <c r="B10" s="6" t="s">
        <v>224</v>
      </c>
      <c r="C10" s="5" t="s">
        <v>217</v>
      </c>
      <c r="D10" s="6" t="s">
        <v>225</v>
      </c>
      <c r="E10" s="6" t="s">
        <v>226</v>
      </c>
      <c r="F10" s="6" t="s">
        <v>227</v>
      </c>
      <c r="G10" s="6" t="s">
        <v>228</v>
      </c>
      <c r="H10" s="6" t="s">
        <v>78</v>
      </c>
      <c r="I10" s="6" t="s">
        <v>229</v>
      </c>
    </row>
    <row r="11" spans="1:9" ht="33.6" x14ac:dyDescent="0.4">
      <c r="A11" s="6" t="s">
        <v>188</v>
      </c>
      <c r="B11" s="6" t="s">
        <v>230</v>
      </c>
      <c r="C11" s="5" t="s">
        <v>217</v>
      </c>
      <c r="D11" s="6" t="s">
        <v>199</v>
      </c>
      <c r="E11" s="6" t="s">
        <v>231</v>
      </c>
      <c r="F11" s="6" t="s">
        <v>232</v>
      </c>
      <c r="G11" s="6" t="s">
        <v>233</v>
      </c>
      <c r="H11" s="6" t="s">
        <v>234</v>
      </c>
      <c r="I11" s="6" t="s">
        <v>235</v>
      </c>
    </row>
    <row r="12" spans="1:9" x14ac:dyDescent="0.4">
      <c r="A12" s="6" t="s">
        <v>188</v>
      </c>
      <c r="B12" s="6" t="s">
        <v>236</v>
      </c>
      <c r="C12" s="5" t="s">
        <v>217</v>
      </c>
      <c r="D12" s="6" t="s">
        <v>225</v>
      </c>
      <c r="E12" s="6" t="s">
        <v>237</v>
      </c>
      <c r="F12" s="6" t="s">
        <v>238</v>
      </c>
      <c r="G12" s="6" t="s">
        <v>239</v>
      </c>
      <c r="H12" s="6" t="s">
        <v>240</v>
      </c>
      <c r="I12" s="6" t="s">
        <v>241</v>
      </c>
    </row>
    <row r="13" spans="1:9" x14ac:dyDescent="0.4">
      <c r="A13" s="6" t="s">
        <v>242</v>
      </c>
      <c r="B13" s="6" t="s">
        <v>243</v>
      </c>
      <c r="C13" s="5" t="s">
        <v>190</v>
      </c>
      <c r="D13" s="6" t="s">
        <v>225</v>
      </c>
      <c r="E13" s="6" t="s">
        <v>226</v>
      </c>
      <c r="F13" s="6" t="s">
        <v>244</v>
      </c>
      <c r="G13" s="6" t="s">
        <v>245</v>
      </c>
      <c r="H13" s="6" t="s">
        <v>240</v>
      </c>
      <c r="I13" s="6" t="s">
        <v>246</v>
      </c>
    </row>
    <row r="14" spans="1:9" x14ac:dyDescent="0.4">
      <c r="A14" s="6" t="s">
        <v>242</v>
      </c>
      <c r="B14" s="6" t="s">
        <v>247</v>
      </c>
      <c r="C14" s="5" t="s">
        <v>217</v>
      </c>
      <c r="D14" s="6" t="s">
        <v>225</v>
      </c>
      <c r="E14" s="6" t="s">
        <v>248</v>
      </c>
      <c r="F14" s="6" t="s">
        <v>249</v>
      </c>
      <c r="G14" s="6" t="s">
        <v>78</v>
      </c>
      <c r="H14" s="6" t="s">
        <v>78</v>
      </c>
      <c r="I14" s="6" t="s">
        <v>250</v>
      </c>
    </row>
    <row r="15" spans="1:9" x14ac:dyDescent="0.4">
      <c r="A15" s="6" t="s">
        <v>242</v>
      </c>
      <c r="B15" s="6" t="s">
        <v>251</v>
      </c>
      <c r="C15" s="5" t="s">
        <v>217</v>
      </c>
      <c r="D15" s="6" t="s">
        <v>191</v>
      </c>
      <c r="E15" s="6" t="s">
        <v>252</v>
      </c>
      <c r="F15" s="6" t="s">
        <v>253</v>
      </c>
      <c r="G15" s="6" t="s">
        <v>254</v>
      </c>
      <c r="H15" s="6" t="s">
        <v>255</v>
      </c>
      <c r="I15" s="6" t="s">
        <v>78</v>
      </c>
    </row>
    <row r="16" spans="1:9" x14ac:dyDescent="0.4">
      <c r="A16" s="6" t="s">
        <v>242</v>
      </c>
      <c r="B16" s="6" t="s">
        <v>256</v>
      </c>
      <c r="C16" s="5" t="s">
        <v>190</v>
      </c>
      <c r="D16" s="6" t="s">
        <v>191</v>
      </c>
      <c r="E16" s="6" t="s">
        <v>252</v>
      </c>
      <c r="F16" s="6" t="s">
        <v>257</v>
      </c>
      <c r="G16" s="6" t="s">
        <v>254</v>
      </c>
      <c r="H16" s="6" t="s">
        <v>258</v>
      </c>
      <c r="I16" s="6" t="s">
        <v>259</v>
      </c>
    </row>
    <row r="17" spans="1:9" x14ac:dyDescent="0.4">
      <c r="A17" s="6" t="s">
        <v>242</v>
      </c>
      <c r="B17" s="6" t="s">
        <v>197</v>
      </c>
      <c r="C17" s="5" t="s">
        <v>190</v>
      </c>
      <c r="D17" s="6" t="s">
        <v>260</v>
      </c>
      <c r="E17" s="6" t="s">
        <v>261</v>
      </c>
      <c r="F17" s="6" t="s">
        <v>262</v>
      </c>
      <c r="G17" s="6" t="s">
        <v>263</v>
      </c>
      <c r="H17" s="6" t="s">
        <v>210</v>
      </c>
      <c r="I17" s="6" t="s">
        <v>78</v>
      </c>
    </row>
    <row r="18" spans="1:9" x14ac:dyDescent="0.4">
      <c r="A18" s="6" t="s">
        <v>242</v>
      </c>
      <c r="B18" s="6" t="s">
        <v>264</v>
      </c>
      <c r="C18" s="5" t="s">
        <v>217</v>
      </c>
      <c r="D18" s="6" t="s">
        <v>206</v>
      </c>
      <c r="E18" s="6" t="s">
        <v>265</v>
      </c>
      <c r="F18" s="6" t="s">
        <v>262</v>
      </c>
      <c r="G18" s="6" t="s">
        <v>266</v>
      </c>
      <c r="H18" s="6" t="s">
        <v>267</v>
      </c>
      <c r="I18" s="6" t="s">
        <v>268</v>
      </c>
    </row>
    <row r="19" spans="1:9" x14ac:dyDescent="0.4">
      <c r="A19" s="6" t="s">
        <v>242</v>
      </c>
      <c r="B19" s="6" t="s">
        <v>216</v>
      </c>
      <c r="C19" s="5" t="s">
        <v>198</v>
      </c>
      <c r="D19" s="6" t="s">
        <v>218</v>
      </c>
      <c r="E19" s="6" t="s">
        <v>269</v>
      </c>
      <c r="F19" s="6" t="s">
        <v>220</v>
      </c>
      <c r="G19" s="6" t="s">
        <v>270</v>
      </c>
      <c r="H19" s="6" t="s">
        <v>222</v>
      </c>
      <c r="I19" s="6" t="s">
        <v>78</v>
      </c>
    </row>
    <row r="20" spans="1:9" x14ac:dyDescent="0.4">
      <c r="A20" s="6" t="s">
        <v>242</v>
      </c>
      <c r="B20" s="6" t="s">
        <v>271</v>
      </c>
      <c r="C20" s="5" t="s">
        <v>217</v>
      </c>
      <c r="D20" s="6" t="s">
        <v>225</v>
      </c>
      <c r="E20" s="6" t="s">
        <v>272</v>
      </c>
      <c r="F20" s="6" t="s">
        <v>273</v>
      </c>
      <c r="G20" s="6" t="s">
        <v>274</v>
      </c>
      <c r="H20" s="6" t="s">
        <v>78</v>
      </c>
      <c r="I20" s="6" t="s">
        <v>275</v>
      </c>
    </row>
    <row r="21" spans="1:9" x14ac:dyDescent="0.4">
      <c r="A21" s="6" t="s">
        <v>276</v>
      </c>
      <c r="B21" s="6" t="s">
        <v>277</v>
      </c>
      <c r="C21" s="5" t="s">
        <v>190</v>
      </c>
      <c r="D21" s="6" t="s">
        <v>225</v>
      </c>
      <c r="E21" s="6" t="s">
        <v>226</v>
      </c>
      <c r="F21" s="6" t="s">
        <v>278</v>
      </c>
      <c r="G21" s="6" t="s">
        <v>245</v>
      </c>
      <c r="H21" s="6" t="s">
        <v>240</v>
      </c>
      <c r="I21" s="6" t="s">
        <v>78</v>
      </c>
    </row>
    <row r="22" spans="1:9" x14ac:dyDescent="0.4">
      <c r="A22" s="6" t="s">
        <v>276</v>
      </c>
      <c r="B22" s="6" t="s">
        <v>279</v>
      </c>
      <c r="C22" s="5" t="s">
        <v>217</v>
      </c>
      <c r="D22" s="6" t="s">
        <v>225</v>
      </c>
      <c r="E22" s="6" t="s">
        <v>280</v>
      </c>
      <c r="F22" s="6" t="s">
        <v>281</v>
      </c>
      <c r="G22" s="6" t="s">
        <v>78</v>
      </c>
      <c r="H22" s="6" t="s">
        <v>78</v>
      </c>
      <c r="I22" s="6" t="s">
        <v>78</v>
      </c>
    </row>
    <row r="23" spans="1:9" x14ac:dyDescent="0.4">
      <c r="A23" s="6" t="s">
        <v>276</v>
      </c>
      <c r="B23" s="6" t="s">
        <v>256</v>
      </c>
      <c r="C23" s="5" t="s">
        <v>190</v>
      </c>
      <c r="D23" s="6" t="s">
        <v>191</v>
      </c>
      <c r="E23" s="6" t="s">
        <v>252</v>
      </c>
      <c r="F23" s="6" t="s">
        <v>282</v>
      </c>
      <c r="G23" s="6" t="s">
        <v>254</v>
      </c>
      <c r="H23" s="6" t="s">
        <v>258</v>
      </c>
      <c r="I23" s="6" t="s">
        <v>283</v>
      </c>
    </row>
    <row r="24" spans="1:9" x14ac:dyDescent="0.4">
      <c r="A24" s="6" t="s">
        <v>276</v>
      </c>
      <c r="B24" s="6" t="s">
        <v>197</v>
      </c>
      <c r="C24" s="5" t="s">
        <v>190</v>
      </c>
      <c r="D24" s="6" t="s">
        <v>260</v>
      </c>
      <c r="E24" s="6" t="s">
        <v>284</v>
      </c>
      <c r="F24" s="6" t="s">
        <v>285</v>
      </c>
      <c r="G24" s="6" t="s">
        <v>263</v>
      </c>
      <c r="H24" s="6" t="s">
        <v>210</v>
      </c>
      <c r="I24" s="6" t="s">
        <v>78</v>
      </c>
    </row>
    <row r="25" spans="1:9" x14ac:dyDescent="0.4">
      <c r="A25" s="6" t="s">
        <v>276</v>
      </c>
      <c r="B25" s="6" t="s">
        <v>264</v>
      </c>
      <c r="C25" s="5" t="s">
        <v>217</v>
      </c>
      <c r="D25" s="6" t="s">
        <v>206</v>
      </c>
      <c r="E25" s="6" t="s">
        <v>286</v>
      </c>
      <c r="F25" s="6" t="s">
        <v>285</v>
      </c>
      <c r="G25" s="6" t="s">
        <v>266</v>
      </c>
      <c r="H25" s="6" t="s">
        <v>267</v>
      </c>
      <c r="I25" s="6" t="s">
        <v>78</v>
      </c>
    </row>
    <row r="26" spans="1:9" x14ac:dyDescent="0.4">
      <c r="A26" s="6" t="s">
        <v>276</v>
      </c>
      <c r="B26" s="6" t="s">
        <v>216</v>
      </c>
      <c r="C26" s="5" t="s">
        <v>198</v>
      </c>
      <c r="D26" s="6" t="s">
        <v>218</v>
      </c>
      <c r="E26" s="6" t="s">
        <v>269</v>
      </c>
      <c r="F26" s="6" t="s">
        <v>220</v>
      </c>
      <c r="G26" s="6" t="s">
        <v>270</v>
      </c>
      <c r="H26" s="6" t="s">
        <v>222</v>
      </c>
      <c r="I26" s="6" t="s">
        <v>287</v>
      </c>
    </row>
    <row r="27" spans="1:9" ht="33.6" x14ac:dyDescent="0.4">
      <c r="A27" s="6" t="s">
        <v>276</v>
      </c>
      <c r="B27" s="6" t="s">
        <v>288</v>
      </c>
      <c r="C27" s="5" t="s">
        <v>217</v>
      </c>
      <c r="D27" s="6" t="s">
        <v>289</v>
      </c>
      <c r="E27" s="6" t="s">
        <v>290</v>
      </c>
      <c r="F27" s="6" t="s">
        <v>190</v>
      </c>
      <c r="G27" s="6" t="s">
        <v>291</v>
      </c>
      <c r="H27" s="6" t="s">
        <v>78</v>
      </c>
      <c r="I27" s="6" t="s">
        <v>292</v>
      </c>
    </row>
    <row r="28" spans="1:9" x14ac:dyDescent="0.4">
      <c r="A28" s="6" t="s">
        <v>276</v>
      </c>
      <c r="B28" s="6" t="s">
        <v>293</v>
      </c>
      <c r="C28" s="5" t="s">
        <v>217</v>
      </c>
      <c r="D28" s="6" t="s">
        <v>206</v>
      </c>
      <c r="E28" s="6" t="s">
        <v>294</v>
      </c>
      <c r="F28" s="6" t="s">
        <v>295</v>
      </c>
      <c r="G28" s="6" t="s">
        <v>199</v>
      </c>
      <c r="H28" s="6" t="s">
        <v>78</v>
      </c>
      <c r="I28" s="6" t="s">
        <v>296</v>
      </c>
    </row>
    <row r="29" spans="1:9" x14ac:dyDescent="0.4">
      <c r="A29" s="6" t="s">
        <v>297</v>
      </c>
      <c r="B29" s="6" t="s">
        <v>298</v>
      </c>
      <c r="C29" s="5" t="s">
        <v>190</v>
      </c>
      <c r="D29" s="6" t="s">
        <v>225</v>
      </c>
      <c r="E29" s="6" t="s">
        <v>299</v>
      </c>
      <c r="F29" s="6" t="s">
        <v>300</v>
      </c>
      <c r="G29" s="6" t="s">
        <v>78</v>
      </c>
      <c r="H29" s="6" t="s">
        <v>78</v>
      </c>
      <c r="I29" s="6" t="s">
        <v>78</v>
      </c>
    </row>
    <row r="30" spans="1:9" x14ac:dyDescent="0.4">
      <c r="A30" s="6" t="s">
        <v>297</v>
      </c>
      <c r="B30" s="6" t="s">
        <v>197</v>
      </c>
      <c r="C30" s="5" t="s">
        <v>190</v>
      </c>
      <c r="D30" s="6" t="s">
        <v>260</v>
      </c>
      <c r="E30" s="6" t="s">
        <v>301</v>
      </c>
      <c r="F30" s="6" t="s">
        <v>302</v>
      </c>
      <c r="G30" s="6" t="s">
        <v>263</v>
      </c>
      <c r="H30" s="6" t="s">
        <v>210</v>
      </c>
      <c r="I30" s="6" t="s">
        <v>303</v>
      </c>
    </row>
    <row r="31" spans="1:9" x14ac:dyDescent="0.4">
      <c r="A31" s="6" t="s">
        <v>297</v>
      </c>
      <c r="B31" s="6" t="s">
        <v>216</v>
      </c>
      <c r="C31" s="5" t="s">
        <v>198</v>
      </c>
      <c r="D31" s="6" t="s">
        <v>218</v>
      </c>
      <c r="E31" s="6" t="s">
        <v>269</v>
      </c>
      <c r="F31" s="6" t="s">
        <v>220</v>
      </c>
      <c r="G31" s="6" t="s">
        <v>270</v>
      </c>
      <c r="H31" s="6" t="s">
        <v>304</v>
      </c>
      <c r="I31" s="6" t="s">
        <v>78</v>
      </c>
    </row>
    <row r="32" spans="1:9" x14ac:dyDescent="0.4">
      <c r="A32" s="6" t="s">
        <v>297</v>
      </c>
      <c r="B32" s="6" t="s">
        <v>305</v>
      </c>
      <c r="C32" s="5" t="s">
        <v>190</v>
      </c>
      <c r="D32" s="6" t="s">
        <v>306</v>
      </c>
      <c r="E32" s="6" t="s">
        <v>307</v>
      </c>
      <c r="F32" s="6" t="s">
        <v>308</v>
      </c>
      <c r="G32" s="6" t="s">
        <v>309</v>
      </c>
      <c r="H32" s="6" t="s">
        <v>78</v>
      </c>
      <c r="I32" s="6" t="s">
        <v>310</v>
      </c>
    </row>
    <row r="33" spans="1:9" ht="33.6" x14ac:dyDescent="0.4">
      <c r="A33" s="6" t="s">
        <v>297</v>
      </c>
      <c r="B33" s="6" t="s">
        <v>311</v>
      </c>
      <c r="C33" s="5" t="s">
        <v>190</v>
      </c>
      <c r="D33" s="6" t="s">
        <v>199</v>
      </c>
      <c r="E33" s="6" t="s">
        <v>1354</v>
      </c>
      <c r="F33" s="6" t="s">
        <v>312</v>
      </c>
      <c r="G33" s="6" t="s">
        <v>313</v>
      </c>
      <c r="H33" s="6" t="s">
        <v>78</v>
      </c>
      <c r="I33" s="6" t="s">
        <v>314</v>
      </c>
    </row>
    <row r="34" spans="1:9" x14ac:dyDescent="0.4">
      <c r="A34" s="6" t="s">
        <v>297</v>
      </c>
      <c r="B34" s="6" t="s">
        <v>315</v>
      </c>
      <c r="C34" s="5" t="s">
        <v>217</v>
      </c>
      <c r="D34" s="6" t="s">
        <v>191</v>
      </c>
      <c r="E34" s="6" t="s">
        <v>252</v>
      </c>
      <c r="F34" s="6" t="s">
        <v>316</v>
      </c>
      <c r="G34" s="6" t="s">
        <v>317</v>
      </c>
      <c r="H34" s="6" t="s">
        <v>255</v>
      </c>
      <c r="I34" s="6" t="s">
        <v>78</v>
      </c>
    </row>
    <row r="35" spans="1:9" x14ac:dyDescent="0.4">
      <c r="A35" s="6" t="s">
        <v>318</v>
      </c>
      <c r="B35" s="6" t="s">
        <v>319</v>
      </c>
      <c r="C35" s="5" t="s">
        <v>190</v>
      </c>
      <c r="D35" s="6" t="s">
        <v>191</v>
      </c>
      <c r="E35" s="6" t="s">
        <v>320</v>
      </c>
      <c r="F35" s="6" t="s">
        <v>321</v>
      </c>
      <c r="G35" s="6" t="s">
        <v>322</v>
      </c>
      <c r="H35" s="6" t="s">
        <v>323</v>
      </c>
      <c r="I35" s="6" t="s">
        <v>324</v>
      </c>
    </row>
    <row r="36" spans="1:9" x14ac:dyDescent="0.4">
      <c r="A36" s="6" t="s">
        <v>318</v>
      </c>
      <c r="B36" s="6" t="s">
        <v>325</v>
      </c>
      <c r="C36" s="5" t="s">
        <v>190</v>
      </c>
      <c r="D36" s="6" t="s">
        <v>199</v>
      </c>
      <c r="E36" s="6" t="s">
        <v>326</v>
      </c>
      <c r="F36" s="6" t="s">
        <v>327</v>
      </c>
      <c r="G36" s="6" t="s">
        <v>233</v>
      </c>
      <c r="H36" s="6" t="s">
        <v>210</v>
      </c>
      <c r="I36" s="6" t="s">
        <v>328</v>
      </c>
    </row>
    <row r="37" spans="1:9" ht="33.6" x14ac:dyDescent="0.4">
      <c r="A37" s="6" t="s">
        <v>318</v>
      </c>
      <c r="B37" s="6" t="s">
        <v>329</v>
      </c>
      <c r="C37" s="5" t="s">
        <v>190</v>
      </c>
      <c r="D37" s="6" t="s">
        <v>206</v>
      </c>
      <c r="E37" s="6" t="s">
        <v>330</v>
      </c>
      <c r="F37" s="6" t="s">
        <v>331</v>
      </c>
      <c r="G37" s="6" t="s">
        <v>332</v>
      </c>
      <c r="H37" s="6" t="s">
        <v>78</v>
      </c>
      <c r="I37" s="6" t="s">
        <v>333</v>
      </c>
    </row>
    <row r="38" spans="1:9" x14ac:dyDescent="0.4">
      <c r="A38" s="6" t="s">
        <v>334</v>
      </c>
      <c r="B38" s="6" t="s">
        <v>335</v>
      </c>
      <c r="C38" s="5" t="s">
        <v>336</v>
      </c>
      <c r="D38" s="6" t="s">
        <v>225</v>
      </c>
      <c r="E38" s="6" t="s">
        <v>337</v>
      </c>
      <c r="F38" s="6" t="s">
        <v>338</v>
      </c>
      <c r="G38" s="6" t="s">
        <v>245</v>
      </c>
      <c r="H38" s="6" t="s">
        <v>240</v>
      </c>
      <c r="I38" s="6" t="s">
        <v>339</v>
      </c>
    </row>
    <row r="39" spans="1:9" x14ac:dyDescent="0.4">
      <c r="A39" s="6" t="s">
        <v>334</v>
      </c>
      <c r="B39" s="6" t="s">
        <v>340</v>
      </c>
      <c r="C39" s="5" t="s">
        <v>336</v>
      </c>
      <c r="D39" s="6" t="s">
        <v>225</v>
      </c>
      <c r="E39" s="6" t="s">
        <v>341</v>
      </c>
      <c r="F39" s="6" t="s">
        <v>342</v>
      </c>
      <c r="G39" s="6" t="s">
        <v>78</v>
      </c>
      <c r="H39" s="6" t="s">
        <v>78</v>
      </c>
      <c r="I39" s="6" t="s">
        <v>78</v>
      </c>
    </row>
    <row r="40" spans="1:9" x14ac:dyDescent="0.4">
      <c r="A40" s="6" t="s">
        <v>334</v>
      </c>
      <c r="B40" s="6" t="s">
        <v>343</v>
      </c>
      <c r="C40" s="5" t="s">
        <v>336</v>
      </c>
      <c r="D40" s="6" t="s">
        <v>199</v>
      </c>
      <c r="E40" s="6" t="s">
        <v>344</v>
      </c>
      <c r="F40" s="6" t="s">
        <v>214</v>
      </c>
      <c r="G40" s="6" t="s">
        <v>199</v>
      </c>
      <c r="H40" s="6" t="s">
        <v>210</v>
      </c>
      <c r="I40" s="6" t="s">
        <v>78</v>
      </c>
    </row>
    <row r="41" spans="1:9" ht="50.4" x14ac:dyDescent="0.4">
      <c r="A41" s="6" t="s">
        <v>334</v>
      </c>
      <c r="B41" s="6" t="s">
        <v>345</v>
      </c>
      <c r="C41" s="5" t="s">
        <v>336</v>
      </c>
      <c r="D41" s="6" t="s">
        <v>206</v>
      </c>
      <c r="E41" s="6" t="s">
        <v>346</v>
      </c>
      <c r="F41" s="6" t="s">
        <v>347</v>
      </c>
      <c r="G41" s="6" t="s">
        <v>199</v>
      </c>
      <c r="H41" s="6" t="s">
        <v>348</v>
      </c>
      <c r="I41" s="6" t="s">
        <v>349</v>
      </c>
    </row>
    <row r="42" spans="1:9" x14ac:dyDescent="0.4">
      <c r="A42" s="6" t="s">
        <v>334</v>
      </c>
      <c r="B42" s="6" t="s">
        <v>350</v>
      </c>
      <c r="C42" s="5" t="s">
        <v>336</v>
      </c>
      <c r="D42" s="6" t="s">
        <v>199</v>
      </c>
      <c r="E42" s="6" t="s">
        <v>351</v>
      </c>
      <c r="F42" s="6" t="s">
        <v>352</v>
      </c>
      <c r="G42" s="6" t="s">
        <v>353</v>
      </c>
      <c r="H42" s="6" t="s">
        <v>348</v>
      </c>
      <c r="I42" s="6" t="s">
        <v>354</v>
      </c>
    </row>
    <row r="43" spans="1:9" x14ac:dyDescent="0.4">
      <c r="A43" s="6" t="s">
        <v>334</v>
      </c>
      <c r="B43" s="6" t="s">
        <v>355</v>
      </c>
      <c r="C43" s="5" t="s">
        <v>336</v>
      </c>
      <c r="D43" s="6" t="s">
        <v>191</v>
      </c>
      <c r="E43" s="6" t="s">
        <v>356</v>
      </c>
      <c r="F43" s="6" t="s">
        <v>357</v>
      </c>
      <c r="G43" s="6" t="s">
        <v>254</v>
      </c>
      <c r="H43" s="6" t="s">
        <v>255</v>
      </c>
      <c r="I43" s="6" t="s">
        <v>358</v>
      </c>
    </row>
    <row r="44" spans="1:9" x14ac:dyDescent="0.4">
      <c r="A44" s="6" t="s">
        <v>334</v>
      </c>
      <c r="B44" s="6" t="s">
        <v>359</v>
      </c>
      <c r="C44" s="5" t="s">
        <v>217</v>
      </c>
      <c r="D44" s="6" t="s">
        <v>191</v>
      </c>
      <c r="E44" s="6" t="s">
        <v>360</v>
      </c>
      <c r="F44" s="6"/>
      <c r="G44" s="6" t="s">
        <v>78</v>
      </c>
      <c r="H44" s="6" t="s">
        <v>78</v>
      </c>
      <c r="I44" s="6" t="s">
        <v>361</v>
      </c>
    </row>
    <row r="45" spans="1:9" ht="50.4" x14ac:dyDescent="0.4">
      <c r="A45" s="6" t="s">
        <v>362</v>
      </c>
      <c r="B45" s="6" t="s">
        <v>363</v>
      </c>
      <c r="C45" s="5" t="s">
        <v>217</v>
      </c>
      <c r="D45" s="6" t="s">
        <v>364</v>
      </c>
      <c r="E45" s="6" t="s">
        <v>365</v>
      </c>
      <c r="F45" s="6" t="s">
        <v>366</v>
      </c>
      <c r="G45" s="6" t="s">
        <v>367</v>
      </c>
      <c r="H45" s="6" t="s">
        <v>210</v>
      </c>
      <c r="I45" s="6" t="s">
        <v>368</v>
      </c>
    </row>
    <row r="47" spans="1:9" x14ac:dyDescent="0.4">
      <c r="A47" s="9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E30"/>
  <sheetViews>
    <sheetView zoomScaleNormal="100" workbookViewId="0">
      <selection activeCell="C27" sqref="C27"/>
    </sheetView>
  </sheetViews>
  <sheetFormatPr defaultColWidth="8.6640625" defaultRowHeight="17.399999999999999" x14ac:dyDescent="0.4"/>
  <cols>
    <col min="1" max="1" width="20" style="2" customWidth="1"/>
    <col min="2" max="2" width="70" style="2" customWidth="1"/>
    <col min="3" max="3" width="60" style="2" customWidth="1"/>
    <col min="4" max="5" width="3" style="2" customWidth="1"/>
    <col min="6" max="16384" width="8.6640625" style="2"/>
  </cols>
  <sheetData>
    <row r="1" spans="1:5" ht="22.2" x14ac:dyDescent="0.5">
      <c r="A1" s="1" t="s">
        <v>370</v>
      </c>
    </row>
    <row r="2" spans="1:5" x14ac:dyDescent="0.4">
      <c r="A2" s="10" t="s">
        <v>371</v>
      </c>
      <c r="B2" s="11"/>
      <c r="C2" s="11"/>
      <c r="D2" s="11"/>
      <c r="E2" s="11"/>
    </row>
    <row r="3" spans="1:5" x14ac:dyDescent="0.4">
      <c r="A3" s="4" t="s">
        <v>372</v>
      </c>
      <c r="B3" s="4" t="s">
        <v>373</v>
      </c>
      <c r="C3" s="4" t="s">
        <v>73</v>
      </c>
      <c r="D3" s="4"/>
      <c r="E3" s="4"/>
    </row>
    <row r="4" spans="1:5" ht="33.6" x14ac:dyDescent="0.4">
      <c r="A4" s="6" t="s">
        <v>189</v>
      </c>
      <c r="B4" s="6" t="s">
        <v>374</v>
      </c>
      <c r="C4" s="6" t="s">
        <v>375</v>
      </c>
      <c r="D4" s="6"/>
      <c r="E4" s="6"/>
    </row>
    <row r="5" spans="1:5" x14ac:dyDescent="0.4">
      <c r="A5" s="6" t="s">
        <v>197</v>
      </c>
      <c r="B5" s="6" t="s">
        <v>376</v>
      </c>
      <c r="C5" s="6" t="s">
        <v>377</v>
      </c>
      <c r="D5" s="6"/>
      <c r="E5" s="6"/>
    </row>
    <row r="6" spans="1:5" x14ac:dyDescent="0.4">
      <c r="A6" s="6" t="s">
        <v>378</v>
      </c>
      <c r="B6" s="6" t="s">
        <v>379</v>
      </c>
      <c r="C6" s="6" t="s">
        <v>207</v>
      </c>
      <c r="D6" s="6"/>
      <c r="E6" s="6"/>
    </row>
    <row r="7" spans="1:5" x14ac:dyDescent="0.4">
      <c r="A7" s="6" t="s">
        <v>380</v>
      </c>
      <c r="B7" s="6" t="s">
        <v>381</v>
      </c>
      <c r="C7" s="6" t="s">
        <v>213</v>
      </c>
      <c r="D7" s="6"/>
      <c r="E7" s="6"/>
    </row>
    <row r="8" spans="1:5" x14ac:dyDescent="0.4">
      <c r="A8" s="6" t="s">
        <v>224</v>
      </c>
      <c r="B8" s="6" t="s">
        <v>382</v>
      </c>
      <c r="C8" s="6" t="s">
        <v>78</v>
      </c>
      <c r="D8" s="6"/>
      <c r="E8" s="6"/>
    </row>
    <row r="9" spans="1:5" x14ac:dyDescent="0.4">
      <c r="A9" s="6" t="s">
        <v>230</v>
      </c>
      <c r="B9" s="6" t="s">
        <v>383</v>
      </c>
      <c r="C9" s="6" t="s">
        <v>78</v>
      </c>
      <c r="D9" s="6"/>
      <c r="E9" s="6"/>
    </row>
    <row r="10" spans="1:5" x14ac:dyDescent="0.4">
      <c r="A10" s="6" t="s">
        <v>216</v>
      </c>
      <c r="B10" s="6" t="s">
        <v>384</v>
      </c>
      <c r="C10" s="6" t="s">
        <v>78</v>
      </c>
      <c r="D10" s="6"/>
      <c r="E10" s="6"/>
    </row>
    <row r="11" spans="1:5" x14ac:dyDescent="0.4">
      <c r="A11" s="6" t="s">
        <v>236</v>
      </c>
      <c r="B11" s="6" t="s">
        <v>385</v>
      </c>
      <c r="C11" s="6" t="s">
        <v>78</v>
      </c>
      <c r="D11" s="6"/>
      <c r="E11" s="6"/>
    </row>
    <row r="12" spans="1:5" x14ac:dyDescent="0.4">
      <c r="A12" s="6" t="s">
        <v>256</v>
      </c>
      <c r="B12" s="6" t="s">
        <v>386</v>
      </c>
      <c r="C12" s="6" t="s">
        <v>387</v>
      </c>
      <c r="D12" s="6"/>
      <c r="E12" s="6"/>
    </row>
    <row r="13" spans="1:5" x14ac:dyDescent="0.4">
      <c r="A13" s="6" t="s">
        <v>388</v>
      </c>
      <c r="B13" s="6" t="s">
        <v>389</v>
      </c>
      <c r="C13" s="6" t="s">
        <v>78</v>
      </c>
      <c r="D13" s="6"/>
      <c r="E13" s="6"/>
    </row>
    <row r="15" spans="1:5" x14ac:dyDescent="0.4">
      <c r="A15" s="10" t="s">
        <v>390</v>
      </c>
      <c r="B15" s="11"/>
      <c r="C15" s="11"/>
      <c r="D15" s="11"/>
      <c r="E15" s="11"/>
    </row>
    <row r="16" spans="1:5" x14ac:dyDescent="0.4">
      <c r="A16" s="4" t="s">
        <v>391</v>
      </c>
      <c r="B16" s="4" t="s">
        <v>392</v>
      </c>
      <c r="C16" s="4" t="s">
        <v>393</v>
      </c>
      <c r="D16" s="4"/>
      <c r="E16" s="4"/>
    </row>
    <row r="17" spans="1:5" ht="33.6" x14ac:dyDescent="0.4">
      <c r="A17" s="6" t="s">
        <v>191</v>
      </c>
      <c r="B17" s="6" t="s">
        <v>394</v>
      </c>
      <c r="C17" s="6" t="s">
        <v>395</v>
      </c>
      <c r="D17" s="6"/>
      <c r="E17" s="6"/>
    </row>
    <row r="18" spans="1:5" ht="33.6" x14ac:dyDescent="0.4">
      <c r="A18" s="6" t="s">
        <v>396</v>
      </c>
      <c r="B18" s="6" t="s">
        <v>397</v>
      </c>
      <c r="C18" s="6" t="s">
        <v>398</v>
      </c>
      <c r="D18" s="6"/>
      <c r="E18" s="6"/>
    </row>
    <row r="19" spans="1:5" x14ac:dyDescent="0.4">
      <c r="A19" s="6" t="s">
        <v>399</v>
      </c>
      <c r="B19" s="6" t="s">
        <v>400</v>
      </c>
      <c r="C19" s="6" t="s">
        <v>401</v>
      </c>
      <c r="D19" s="6"/>
      <c r="E19" s="6"/>
    </row>
    <row r="20" spans="1:5" x14ac:dyDescent="0.4">
      <c r="A20" s="6" t="s">
        <v>402</v>
      </c>
      <c r="B20" s="6" t="s">
        <v>403</v>
      </c>
      <c r="C20" s="6" t="s">
        <v>404</v>
      </c>
      <c r="D20" s="6"/>
      <c r="E20" s="6"/>
    </row>
    <row r="21" spans="1:5" x14ac:dyDescent="0.4">
      <c r="A21" s="6" t="s">
        <v>405</v>
      </c>
      <c r="B21" s="6" t="s">
        <v>406</v>
      </c>
      <c r="C21" s="6" t="s">
        <v>407</v>
      </c>
      <c r="D21" s="6"/>
      <c r="E21" s="6"/>
    </row>
    <row r="23" spans="1:5" x14ac:dyDescent="0.4">
      <c r="A23" s="10" t="s">
        <v>408</v>
      </c>
      <c r="B23" s="11"/>
      <c r="C23" s="11"/>
      <c r="D23" s="11"/>
      <c r="E23" s="11"/>
    </row>
    <row r="24" spans="1:5" x14ac:dyDescent="0.4">
      <c r="A24" s="4" t="s">
        <v>409</v>
      </c>
      <c r="B24" s="4" t="s">
        <v>410</v>
      </c>
      <c r="C24" s="4" t="s">
        <v>73</v>
      </c>
      <c r="D24" s="4"/>
      <c r="E24" s="4"/>
    </row>
    <row r="25" spans="1:5" x14ac:dyDescent="0.4">
      <c r="A25" s="5" t="s">
        <v>411</v>
      </c>
      <c r="B25" s="6" t="s">
        <v>412</v>
      </c>
      <c r="C25" s="6" t="s">
        <v>413</v>
      </c>
      <c r="D25" s="6"/>
      <c r="E25" s="6"/>
    </row>
    <row r="26" spans="1:5" x14ac:dyDescent="0.4">
      <c r="A26" s="5" t="s">
        <v>414</v>
      </c>
      <c r="B26" s="6" t="s">
        <v>415</v>
      </c>
      <c r="C26" s="6" t="s">
        <v>416</v>
      </c>
      <c r="D26" s="6"/>
      <c r="E26" s="6"/>
    </row>
    <row r="27" spans="1:5" ht="33.6" x14ac:dyDescent="0.4">
      <c r="A27" s="5" t="s">
        <v>417</v>
      </c>
      <c r="B27" s="6" t="s">
        <v>418</v>
      </c>
      <c r="C27" s="6" t="s">
        <v>419</v>
      </c>
      <c r="D27" s="6"/>
      <c r="E27" s="6"/>
    </row>
    <row r="28" spans="1:5" x14ac:dyDescent="0.4">
      <c r="A28" s="5" t="s">
        <v>420</v>
      </c>
      <c r="B28" s="6" t="s">
        <v>421</v>
      </c>
      <c r="C28" s="6" t="s">
        <v>422</v>
      </c>
      <c r="D28" s="6"/>
      <c r="E28" s="6"/>
    </row>
    <row r="29" spans="1:5" x14ac:dyDescent="0.4">
      <c r="A29" s="5" t="s">
        <v>312</v>
      </c>
      <c r="B29" s="6" t="s">
        <v>423</v>
      </c>
      <c r="C29" s="6" t="s">
        <v>424</v>
      </c>
      <c r="D29" s="6"/>
      <c r="E29" s="6"/>
    </row>
    <row r="30" spans="1:5" x14ac:dyDescent="0.4">
      <c r="A30" s="5" t="s">
        <v>425</v>
      </c>
      <c r="B30" s="6" t="s">
        <v>426</v>
      </c>
      <c r="C30" s="6" t="s">
        <v>427</v>
      </c>
      <c r="D30" s="6"/>
      <c r="E30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2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9" sqref="C19"/>
    </sheetView>
  </sheetViews>
  <sheetFormatPr defaultColWidth="8.6640625" defaultRowHeight="17.399999999999999" x14ac:dyDescent="0.4"/>
  <cols>
    <col min="1" max="1" width="7" style="2" customWidth="1"/>
    <col min="2" max="2" width="46" style="2" customWidth="1"/>
    <col min="3" max="3" width="12" style="2" customWidth="1"/>
    <col min="4" max="4" width="48" style="2" customWidth="1"/>
    <col min="5" max="5" width="56" style="2" customWidth="1"/>
    <col min="6" max="6" width="14" style="2" customWidth="1"/>
    <col min="7" max="16384" width="8.6640625" style="2"/>
  </cols>
  <sheetData>
    <row r="1" spans="1:6" ht="22.2" x14ac:dyDescent="0.5">
      <c r="A1" s="1" t="s">
        <v>428</v>
      </c>
    </row>
    <row r="2" spans="1:6" x14ac:dyDescent="0.4">
      <c r="A2" s="3" t="s">
        <v>429</v>
      </c>
    </row>
    <row r="4" spans="1:6" x14ac:dyDescent="0.4">
      <c r="A4" s="4" t="s">
        <v>65</v>
      </c>
      <c r="B4" s="4" t="s">
        <v>430</v>
      </c>
      <c r="C4" s="4" t="s">
        <v>431</v>
      </c>
      <c r="D4" s="4" t="s">
        <v>432</v>
      </c>
      <c r="E4" s="4" t="s">
        <v>433</v>
      </c>
      <c r="F4" s="4" t="s">
        <v>434</v>
      </c>
    </row>
    <row r="5" spans="1:6" x14ac:dyDescent="0.4">
      <c r="A5" s="5" t="s">
        <v>435</v>
      </c>
      <c r="B5" s="6" t="s">
        <v>436</v>
      </c>
      <c r="C5" s="5" t="s">
        <v>437</v>
      </c>
      <c r="D5" s="6" t="s">
        <v>438</v>
      </c>
      <c r="E5" s="6" t="s">
        <v>439</v>
      </c>
      <c r="F5" s="5" t="s">
        <v>440</v>
      </c>
    </row>
    <row r="6" spans="1:6" x14ac:dyDescent="0.4">
      <c r="A6" s="5" t="s">
        <v>441</v>
      </c>
      <c r="B6" s="6" t="s">
        <v>442</v>
      </c>
      <c r="C6" s="5" t="s">
        <v>443</v>
      </c>
      <c r="D6" s="6" t="s">
        <v>444</v>
      </c>
      <c r="E6" s="6" t="s">
        <v>445</v>
      </c>
      <c r="F6" s="5" t="s">
        <v>78</v>
      </c>
    </row>
    <row r="7" spans="1:6" x14ac:dyDescent="0.4">
      <c r="A7" s="5" t="s">
        <v>446</v>
      </c>
      <c r="B7" s="6" t="s">
        <v>447</v>
      </c>
      <c r="C7" s="5" t="s">
        <v>437</v>
      </c>
      <c r="D7" s="6" t="s">
        <v>448</v>
      </c>
      <c r="E7" s="6" t="s">
        <v>449</v>
      </c>
      <c r="F7" s="5" t="s">
        <v>78</v>
      </c>
    </row>
    <row r="8" spans="1:6" x14ac:dyDescent="0.4">
      <c r="A8" s="5" t="s">
        <v>255</v>
      </c>
      <c r="B8" s="6" t="s">
        <v>450</v>
      </c>
      <c r="C8" s="5" t="s">
        <v>443</v>
      </c>
      <c r="D8" s="6" t="s">
        <v>451</v>
      </c>
      <c r="E8" s="6" t="s">
        <v>452</v>
      </c>
      <c r="F8" s="5" t="s">
        <v>440</v>
      </c>
    </row>
    <row r="9" spans="1:6" x14ac:dyDescent="0.4">
      <c r="A9" s="5" t="s">
        <v>453</v>
      </c>
      <c r="B9" s="6" t="s">
        <v>454</v>
      </c>
      <c r="C9" s="5" t="s">
        <v>443</v>
      </c>
      <c r="D9" s="6" t="s">
        <v>455</v>
      </c>
      <c r="E9" s="6" t="s">
        <v>456</v>
      </c>
      <c r="F9" s="5" t="s">
        <v>457</v>
      </c>
    </row>
    <row r="10" spans="1:6" x14ac:dyDescent="0.4">
      <c r="A10" s="5" t="s">
        <v>210</v>
      </c>
      <c r="B10" s="6" t="s">
        <v>458</v>
      </c>
      <c r="C10" s="5" t="s">
        <v>443</v>
      </c>
      <c r="D10" s="6" t="s">
        <v>459</v>
      </c>
      <c r="E10" s="6" t="s">
        <v>460</v>
      </c>
      <c r="F10" s="5" t="s">
        <v>78</v>
      </c>
    </row>
    <row r="11" spans="1:6" x14ac:dyDescent="0.4">
      <c r="A11" s="5" t="s">
        <v>461</v>
      </c>
      <c r="B11" s="6" t="s">
        <v>462</v>
      </c>
      <c r="C11" s="5" t="s">
        <v>463</v>
      </c>
      <c r="D11" s="6" t="s">
        <v>464</v>
      </c>
      <c r="E11" s="6" t="s">
        <v>465</v>
      </c>
      <c r="F11" s="5" t="s">
        <v>78</v>
      </c>
    </row>
    <row r="12" spans="1:6" x14ac:dyDescent="0.4">
      <c r="A12" s="5" t="s">
        <v>466</v>
      </c>
      <c r="B12" s="6" t="s">
        <v>467</v>
      </c>
      <c r="C12" s="5" t="s">
        <v>443</v>
      </c>
      <c r="D12" s="6" t="s">
        <v>468</v>
      </c>
      <c r="E12" s="6" t="s">
        <v>469</v>
      </c>
      <c r="F12" s="5" t="s">
        <v>470</v>
      </c>
    </row>
    <row r="13" spans="1:6" ht="33.6" x14ac:dyDescent="0.4">
      <c r="A13" s="5" t="s">
        <v>304</v>
      </c>
      <c r="B13" s="6" t="s">
        <v>471</v>
      </c>
      <c r="C13" s="5" t="s">
        <v>443</v>
      </c>
      <c r="D13" s="6" t="s">
        <v>472</v>
      </c>
      <c r="E13" s="6" t="s">
        <v>473</v>
      </c>
      <c r="F13" s="5" t="s">
        <v>78</v>
      </c>
    </row>
    <row r="14" spans="1:6" x14ac:dyDescent="0.4">
      <c r="A14" s="5" t="s">
        <v>474</v>
      </c>
      <c r="B14" s="6" t="s">
        <v>475</v>
      </c>
      <c r="C14" s="5" t="s">
        <v>443</v>
      </c>
      <c r="D14" s="6" t="s">
        <v>476</v>
      </c>
      <c r="E14" s="6" t="s">
        <v>477</v>
      </c>
      <c r="F14" s="5" t="s">
        <v>78</v>
      </c>
    </row>
    <row r="15" spans="1:6" ht="33.6" x14ac:dyDescent="0.4">
      <c r="A15" s="5" t="s">
        <v>240</v>
      </c>
      <c r="B15" s="6" t="s">
        <v>478</v>
      </c>
      <c r="C15" s="5" t="s">
        <v>443</v>
      </c>
      <c r="D15" s="6" t="s">
        <v>479</v>
      </c>
      <c r="E15" s="6" t="s">
        <v>480</v>
      </c>
      <c r="F15" s="5" t="s">
        <v>481</v>
      </c>
    </row>
    <row r="16" spans="1:6" ht="33.6" x14ac:dyDescent="0.4">
      <c r="A16" s="5" t="s">
        <v>482</v>
      </c>
      <c r="B16" s="6" t="s">
        <v>483</v>
      </c>
      <c r="C16" s="5" t="s">
        <v>443</v>
      </c>
      <c r="D16" s="6" t="s">
        <v>484</v>
      </c>
      <c r="E16" s="6" t="s">
        <v>485</v>
      </c>
      <c r="F16" s="5" t="s">
        <v>481</v>
      </c>
    </row>
    <row r="17" spans="1:6" x14ac:dyDescent="0.4">
      <c r="A17" s="5" t="s">
        <v>323</v>
      </c>
      <c r="B17" s="6" t="s">
        <v>486</v>
      </c>
      <c r="C17" s="5" t="s">
        <v>437</v>
      </c>
      <c r="D17" s="6" t="s">
        <v>487</v>
      </c>
      <c r="E17" s="6" t="s">
        <v>488</v>
      </c>
      <c r="F17" s="5" t="s">
        <v>78</v>
      </c>
    </row>
    <row r="18" spans="1:6" ht="33.6" x14ac:dyDescent="0.4">
      <c r="A18" s="5" t="s">
        <v>489</v>
      </c>
      <c r="B18" s="6" t="s">
        <v>490</v>
      </c>
      <c r="C18" s="5" t="s">
        <v>443</v>
      </c>
      <c r="D18" s="6" t="s">
        <v>491</v>
      </c>
      <c r="E18" s="6" t="s">
        <v>492</v>
      </c>
      <c r="F18" s="5" t="s">
        <v>493</v>
      </c>
    </row>
    <row r="19" spans="1:6" x14ac:dyDescent="0.4">
      <c r="A19" s="5" t="s">
        <v>494</v>
      </c>
      <c r="B19" s="6" t="s">
        <v>495</v>
      </c>
      <c r="C19" s="5" t="s">
        <v>463</v>
      </c>
      <c r="D19" s="6" t="s">
        <v>496</v>
      </c>
      <c r="E19" s="6" t="s">
        <v>497</v>
      </c>
      <c r="F19" s="5" t="s">
        <v>498</v>
      </c>
    </row>
    <row r="20" spans="1:6" x14ac:dyDescent="0.4">
      <c r="A20" s="5" t="s">
        <v>499</v>
      </c>
      <c r="B20" s="6" t="s">
        <v>500</v>
      </c>
      <c r="C20" s="5" t="s">
        <v>443</v>
      </c>
      <c r="D20" s="6" t="s">
        <v>501</v>
      </c>
      <c r="E20" s="6" t="s">
        <v>502</v>
      </c>
      <c r="F20" s="5" t="s">
        <v>78</v>
      </c>
    </row>
    <row r="21" spans="1:6" x14ac:dyDescent="0.4">
      <c r="A21" s="5" t="s">
        <v>503</v>
      </c>
      <c r="B21" s="6" t="s">
        <v>504</v>
      </c>
      <c r="C21" s="5" t="s">
        <v>443</v>
      </c>
      <c r="D21" s="6" t="s">
        <v>501</v>
      </c>
      <c r="E21" s="6" t="s">
        <v>505</v>
      </c>
      <c r="F21" s="5" t="s">
        <v>78</v>
      </c>
    </row>
    <row r="22" spans="1:6" x14ac:dyDescent="0.4">
      <c r="A22" s="5" t="s">
        <v>234</v>
      </c>
      <c r="B22" s="6" t="s">
        <v>506</v>
      </c>
      <c r="C22" s="5" t="s">
        <v>443</v>
      </c>
      <c r="D22" s="6" t="s">
        <v>507</v>
      </c>
      <c r="E22" s="6" t="s">
        <v>508</v>
      </c>
      <c r="F22" s="5" t="s">
        <v>509</v>
      </c>
    </row>
    <row r="23" spans="1:6" x14ac:dyDescent="0.4">
      <c r="A23" s="5" t="s">
        <v>510</v>
      </c>
      <c r="B23" s="6" t="s">
        <v>511</v>
      </c>
      <c r="C23" s="5" t="s">
        <v>443</v>
      </c>
      <c r="D23" s="6" t="s">
        <v>512</v>
      </c>
      <c r="E23" s="6" t="s">
        <v>513</v>
      </c>
      <c r="F23" s="5" t="s">
        <v>78</v>
      </c>
    </row>
    <row r="24" spans="1:6" x14ac:dyDescent="0.4">
      <c r="A24" s="5" t="s">
        <v>514</v>
      </c>
      <c r="B24" s="6" t="s">
        <v>515</v>
      </c>
      <c r="C24" s="5" t="s">
        <v>443</v>
      </c>
      <c r="D24" s="6" t="s">
        <v>516</v>
      </c>
      <c r="E24" s="6" t="s">
        <v>517</v>
      </c>
      <c r="F24" s="5" t="s">
        <v>518</v>
      </c>
    </row>
    <row r="25" spans="1:6" x14ac:dyDescent="0.4">
      <c r="A25" s="5" t="s">
        <v>348</v>
      </c>
      <c r="B25" s="6" t="s">
        <v>519</v>
      </c>
      <c r="C25" s="5" t="s">
        <v>443</v>
      </c>
      <c r="D25" s="6" t="s">
        <v>520</v>
      </c>
      <c r="E25" s="6" t="s">
        <v>521</v>
      </c>
      <c r="F25" s="5" t="s">
        <v>522</v>
      </c>
    </row>
    <row r="26" spans="1:6" x14ac:dyDescent="0.4">
      <c r="A26" s="5" t="s">
        <v>523</v>
      </c>
      <c r="B26" s="6" t="s">
        <v>524</v>
      </c>
      <c r="C26" s="5" t="s">
        <v>437</v>
      </c>
      <c r="D26" s="6" t="s">
        <v>525</v>
      </c>
      <c r="E26" s="6" t="s">
        <v>526</v>
      </c>
      <c r="F26" s="5" t="s">
        <v>527</v>
      </c>
    </row>
    <row r="27" spans="1:6" ht="33.6" x14ac:dyDescent="0.4">
      <c r="A27" s="5" t="s">
        <v>528</v>
      </c>
      <c r="B27" s="6" t="s">
        <v>529</v>
      </c>
      <c r="C27" s="5" t="s">
        <v>443</v>
      </c>
      <c r="D27" s="6" t="s">
        <v>530</v>
      </c>
      <c r="E27" s="6" t="s">
        <v>531</v>
      </c>
      <c r="F27" s="5" t="s">
        <v>78</v>
      </c>
    </row>
    <row r="28" spans="1:6" ht="33.6" x14ac:dyDescent="0.4">
      <c r="A28" s="5" t="s">
        <v>532</v>
      </c>
      <c r="B28" s="6" t="s">
        <v>533</v>
      </c>
      <c r="C28" s="5" t="s">
        <v>463</v>
      </c>
      <c r="D28" s="6" t="s">
        <v>534</v>
      </c>
      <c r="E28" s="6" t="s">
        <v>535</v>
      </c>
      <c r="F28" s="5" t="s">
        <v>78</v>
      </c>
    </row>
    <row r="29" spans="1:6" x14ac:dyDescent="0.4">
      <c r="A29" s="5" t="s">
        <v>536</v>
      </c>
      <c r="B29" s="6" t="s">
        <v>537</v>
      </c>
      <c r="C29" s="5" t="s">
        <v>443</v>
      </c>
      <c r="D29" s="6" t="s">
        <v>538</v>
      </c>
      <c r="E29" s="6" t="s">
        <v>539</v>
      </c>
      <c r="F29" s="5" t="s">
        <v>481</v>
      </c>
    </row>
  </sheetData>
  <conditionalFormatting sqref="C5:C29">
    <cfRule type="cellIs" dxfId="9" priority="2" operator="equal">
      <formula>"CHẶN"</formula>
    </cfRule>
    <cfRule type="cellIs" dxfId="8" priority="3" operator="equal">
      <formula>"CẢNH BÁO"</formula>
    </cfRule>
    <cfRule type="cellIs" dxfId="7" priority="4" operator="equal">
      <formula>"THÔNG TIN"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F22"/>
  <sheetViews>
    <sheetView zoomScaleNormal="100" workbookViewId="0">
      <pane ySplit="4" topLeftCell="A15" activePane="bottomLeft" state="frozen"/>
      <selection pane="bottomLeft" activeCell="I10" sqref="I10"/>
    </sheetView>
  </sheetViews>
  <sheetFormatPr defaultColWidth="8.6640625" defaultRowHeight="17.399999999999999" x14ac:dyDescent="0.4"/>
  <cols>
    <col min="1" max="1" width="16" style="2" customWidth="1"/>
    <col min="2" max="2" width="50" style="2" customWidth="1"/>
    <col min="3" max="3" width="16" style="2" customWidth="1"/>
    <col min="4" max="4" width="10" style="2" customWidth="1"/>
    <col min="5" max="5" width="52" style="2" customWidth="1"/>
    <col min="6" max="6" width="26" style="2" customWidth="1"/>
    <col min="7" max="16384" width="8.6640625" style="2"/>
  </cols>
  <sheetData>
    <row r="1" spans="1:6" ht="22.2" x14ac:dyDescent="0.5">
      <c r="A1" s="1" t="s">
        <v>540</v>
      </c>
    </row>
    <row r="2" spans="1:6" x14ac:dyDescent="0.4">
      <c r="A2" s="3" t="s">
        <v>541</v>
      </c>
    </row>
    <row r="4" spans="1:6" x14ac:dyDescent="0.4">
      <c r="A4" s="4" t="s">
        <v>542</v>
      </c>
      <c r="B4" s="4" t="s">
        <v>180</v>
      </c>
      <c r="C4" s="4" t="s">
        <v>182</v>
      </c>
      <c r="D4" s="4" t="s">
        <v>181</v>
      </c>
      <c r="E4" s="4" t="s">
        <v>67</v>
      </c>
      <c r="F4" s="4" t="s">
        <v>543</v>
      </c>
    </row>
    <row r="5" spans="1:6" x14ac:dyDescent="0.4">
      <c r="A5" s="6" t="s">
        <v>544</v>
      </c>
      <c r="B5" s="6" t="s">
        <v>545</v>
      </c>
      <c r="C5" s="6" t="s">
        <v>225</v>
      </c>
      <c r="D5" s="5" t="s">
        <v>190</v>
      </c>
      <c r="E5" s="6" t="s">
        <v>546</v>
      </c>
      <c r="F5" s="6" t="s">
        <v>547</v>
      </c>
    </row>
    <row r="6" spans="1:6" x14ac:dyDescent="0.4">
      <c r="A6" s="6" t="s">
        <v>544</v>
      </c>
      <c r="B6" s="6" t="s">
        <v>189</v>
      </c>
      <c r="C6" s="6" t="s">
        <v>191</v>
      </c>
      <c r="D6" s="5" t="s">
        <v>190</v>
      </c>
      <c r="E6" s="6" t="s">
        <v>548</v>
      </c>
      <c r="F6" s="6" t="s">
        <v>282</v>
      </c>
    </row>
    <row r="7" spans="1:6" x14ac:dyDescent="0.4">
      <c r="A7" s="6" t="s">
        <v>544</v>
      </c>
      <c r="B7" s="6" t="s">
        <v>197</v>
      </c>
      <c r="C7" s="6" t="s">
        <v>199</v>
      </c>
      <c r="D7" s="5" t="s">
        <v>190</v>
      </c>
      <c r="E7" s="6" t="s">
        <v>200</v>
      </c>
      <c r="F7" s="6" t="s">
        <v>549</v>
      </c>
    </row>
    <row r="8" spans="1:6" x14ac:dyDescent="0.4">
      <c r="A8" s="6" t="s">
        <v>544</v>
      </c>
      <c r="B8" s="6" t="s">
        <v>216</v>
      </c>
      <c r="C8" s="6" t="s">
        <v>218</v>
      </c>
      <c r="D8" s="5" t="s">
        <v>190</v>
      </c>
      <c r="E8" s="6" t="s">
        <v>219</v>
      </c>
      <c r="F8" s="6" t="s">
        <v>220</v>
      </c>
    </row>
    <row r="9" spans="1:6" ht="33.6" x14ac:dyDescent="0.4">
      <c r="A9" s="6" t="s">
        <v>544</v>
      </c>
      <c r="B9" s="6" t="s">
        <v>550</v>
      </c>
      <c r="C9" s="6" t="s">
        <v>306</v>
      </c>
      <c r="D9" s="5" t="s">
        <v>190</v>
      </c>
      <c r="E9" s="6" t="s">
        <v>551</v>
      </c>
      <c r="F9" s="6" t="s">
        <v>552</v>
      </c>
    </row>
    <row r="10" spans="1:6" x14ac:dyDescent="0.4">
      <c r="A10" s="6" t="s">
        <v>544</v>
      </c>
      <c r="B10" s="6" t="s">
        <v>271</v>
      </c>
      <c r="C10" s="6" t="s">
        <v>306</v>
      </c>
      <c r="D10" s="5" t="s">
        <v>190</v>
      </c>
      <c r="E10" s="6" t="s">
        <v>553</v>
      </c>
      <c r="F10" s="6" t="s">
        <v>554</v>
      </c>
    </row>
    <row r="11" spans="1:6" x14ac:dyDescent="0.4">
      <c r="A11" s="6" t="s">
        <v>544</v>
      </c>
      <c r="B11" s="6" t="s">
        <v>224</v>
      </c>
      <c r="C11" s="6" t="s">
        <v>225</v>
      </c>
      <c r="D11" s="5" t="s">
        <v>217</v>
      </c>
      <c r="E11" s="6" t="s">
        <v>555</v>
      </c>
      <c r="F11" s="6" t="s">
        <v>556</v>
      </c>
    </row>
    <row r="12" spans="1:6" x14ac:dyDescent="0.4">
      <c r="A12" s="6" t="s">
        <v>544</v>
      </c>
      <c r="B12" s="6" t="s">
        <v>557</v>
      </c>
      <c r="C12" s="6" t="s">
        <v>558</v>
      </c>
      <c r="D12" s="5" t="s">
        <v>190</v>
      </c>
      <c r="E12" s="6" t="s">
        <v>559</v>
      </c>
      <c r="F12" s="6" t="s">
        <v>560</v>
      </c>
    </row>
    <row r="13" spans="1:6" x14ac:dyDescent="0.4">
      <c r="A13" s="6" t="s">
        <v>544</v>
      </c>
      <c r="B13" s="6" t="s">
        <v>288</v>
      </c>
      <c r="C13" s="6" t="s">
        <v>561</v>
      </c>
      <c r="D13" s="5" t="s">
        <v>217</v>
      </c>
      <c r="E13" s="6" t="s">
        <v>562</v>
      </c>
      <c r="F13" s="6" t="s">
        <v>563</v>
      </c>
    </row>
    <row r="14" spans="1:6" x14ac:dyDescent="0.4">
      <c r="A14" s="6" t="s">
        <v>544</v>
      </c>
      <c r="B14" s="6" t="s">
        <v>564</v>
      </c>
      <c r="C14" s="6" t="s">
        <v>225</v>
      </c>
      <c r="D14" s="5" t="s">
        <v>217</v>
      </c>
      <c r="E14" s="6" t="s">
        <v>565</v>
      </c>
      <c r="F14" s="6" t="s">
        <v>566</v>
      </c>
    </row>
    <row r="15" spans="1:6" ht="33.6" x14ac:dyDescent="0.4">
      <c r="A15" s="6" t="s">
        <v>567</v>
      </c>
      <c r="B15" s="6" t="s">
        <v>568</v>
      </c>
      <c r="C15" s="6" t="s">
        <v>364</v>
      </c>
      <c r="D15" s="5" t="s">
        <v>190</v>
      </c>
      <c r="E15" s="6" t="s">
        <v>569</v>
      </c>
      <c r="F15" s="6" t="s">
        <v>78</v>
      </c>
    </row>
    <row r="16" spans="1:6" x14ac:dyDescent="0.4">
      <c r="A16" s="6" t="s">
        <v>570</v>
      </c>
      <c r="B16" s="6" t="s">
        <v>571</v>
      </c>
      <c r="C16" s="6" t="s">
        <v>364</v>
      </c>
      <c r="D16" s="5" t="s">
        <v>190</v>
      </c>
      <c r="E16" s="6" t="s">
        <v>572</v>
      </c>
      <c r="F16" s="6" t="s">
        <v>240</v>
      </c>
    </row>
    <row r="17" spans="1:6" ht="33.6" x14ac:dyDescent="0.4">
      <c r="A17" s="6" t="s">
        <v>573</v>
      </c>
      <c r="B17" s="6" t="s">
        <v>574</v>
      </c>
      <c r="C17" s="6" t="s">
        <v>364</v>
      </c>
      <c r="D17" s="5" t="s">
        <v>190</v>
      </c>
      <c r="E17" s="6" t="s">
        <v>575</v>
      </c>
      <c r="F17" s="6" t="s">
        <v>78</v>
      </c>
    </row>
    <row r="18" spans="1:6" ht="33.6" x14ac:dyDescent="0.4">
      <c r="A18" s="6" t="s">
        <v>576</v>
      </c>
      <c r="B18" s="6" t="s">
        <v>577</v>
      </c>
      <c r="C18" s="6" t="s">
        <v>364</v>
      </c>
      <c r="D18" s="5" t="s">
        <v>190</v>
      </c>
      <c r="E18" s="6" t="s">
        <v>578</v>
      </c>
      <c r="F18" s="6" t="s">
        <v>78</v>
      </c>
    </row>
    <row r="19" spans="1:6" ht="33.6" x14ac:dyDescent="0.4">
      <c r="A19" s="6" t="s">
        <v>579</v>
      </c>
      <c r="B19" s="6" t="s">
        <v>580</v>
      </c>
      <c r="C19" s="6" t="s">
        <v>364</v>
      </c>
      <c r="D19" s="5" t="s">
        <v>190</v>
      </c>
      <c r="E19" s="6" t="s">
        <v>581</v>
      </c>
      <c r="F19" s="6" t="s">
        <v>78</v>
      </c>
    </row>
    <row r="20" spans="1:6" x14ac:dyDescent="0.4">
      <c r="A20" s="6" t="s">
        <v>582</v>
      </c>
      <c r="B20" s="6" t="s">
        <v>583</v>
      </c>
      <c r="C20" s="6" t="s">
        <v>364</v>
      </c>
      <c r="D20" s="5" t="s">
        <v>190</v>
      </c>
      <c r="E20" s="6" t="s">
        <v>584</v>
      </c>
      <c r="F20" s="6" t="s">
        <v>78</v>
      </c>
    </row>
    <row r="21" spans="1:6" ht="33.6" x14ac:dyDescent="0.4">
      <c r="A21" s="6" t="s">
        <v>585</v>
      </c>
      <c r="B21" s="6" t="s">
        <v>586</v>
      </c>
      <c r="C21" s="6" t="s">
        <v>364</v>
      </c>
      <c r="D21" s="5" t="s">
        <v>190</v>
      </c>
      <c r="E21" s="6" t="s">
        <v>587</v>
      </c>
      <c r="F21" s="6" t="s">
        <v>78</v>
      </c>
    </row>
    <row r="22" spans="1:6" ht="33.6" x14ac:dyDescent="0.4">
      <c r="A22" s="6" t="s">
        <v>588</v>
      </c>
      <c r="B22" s="6" t="s">
        <v>589</v>
      </c>
      <c r="C22" s="6" t="s">
        <v>364</v>
      </c>
      <c r="D22" s="5" t="s">
        <v>190</v>
      </c>
      <c r="E22" s="6" t="s">
        <v>590</v>
      </c>
      <c r="F22" s="6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F33"/>
  <sheetViews>
    <sheetView zoomScaleNormal="100" workbookViewId="0">
      <selection activeCell="G21" sqref="G21"/>
    </sheetView>
  </sheetViews>
  <sheetFormatPr defaultColWidth="8.6640625" defaultRowHeight="17.399999999999999" x14ac:dyDescent="0.4"/>
  <cols>
    <col min="1" max="1" width="9" style="2" customWidth="1"/>
    <col min="2" max="2" width="24" style="2" customWidth="1"/>
    <col min="3" max="3" width="34" style="2" customWidth="1"/>
    <col min="4" max="4" width="70" style="2" customWidth="1"/>
    <col min="5" max="5" width="30" style="2" customWidth="1"/>
    <col min="6" max="6" width="26" style="2" customWidth="1"/>
    <col min="7" max="16384" width="8.6640625" style="2"/>
  </cols>
  <sheetData>
    <row r="1" spans="1:6" ht="22.2" x14ac:dyDescent="0.5">
      <c r="A1" s="1" t="s">
        <v>591</v>
      </c>
    </row>
    <row r="2" spans="1:6" x14ac:dyDescent="0.4">
      <c r="A2" s="3" t="s">
        <v>592</v>
      </c>
    </row>
    <row r="4" spans="1:6" x14ac:dyDescent="0.4">
      <c r="A4" s="10" t="s">
        <v>593</v>
      </c>
      <c r="B4" s="11"/>
      <c r="C4" s="11"/>
      <c r="D4" s="11"/>
      <c r="E4" s="11"/>
      <c r="F4" s="11"/>
    </row>
    <row r="5" spans="1:6" x14ac:dyDescent="0.4">
      <c r="A5" s="4" t="s">
        <v>594</v>
      </c>
      <c r="B5" s="4" t="s">
        <v>595</v>
      </c>
      <c r="C5" s="4" t="s">
        <v>543</v>
      </c>
      <c r="D5" s="4" t="s">
        <v>596</v>
      </c>
      <c r="E5" s="4" t="s">
        <v>68</v>
      </c>
      <c r="F5" s="4"/>
    </row>
    <row r="6" spans="1:6" ht="33.6" x14ac:dyDescent="0.4">
      <c r="A6" s="6" t="s">
        <v>597</v>
      </c>
      <c r="B6" s="6" t="s">
        <v>598</v>
      </c>
      <c r="C6" s="6" t="s">
        <v>599</v>
      </c>
      <c r="D6" s="6" t="s">
        <v>600</v>
      </c>
      <c r="E6" s="5" t="s">
        <v>77</v>
      </c>
      <c r="F6" s="6"/>
    </row>
    <row r="7" spans="1:6" ht="50.4" x14ac:dyDescent="0.4">
      <c r="A7" s="6" t="s">
        <v>601</v>
      </c>
      <c r="B7" s="6" t="s">
        <v>602</v>
      </c>
      <c r="C7" s="6" t="s">
        <v>603</v>
      </c>
      <c r="D7" s="6" t="s">
        <v>604</v>
      </c>
      <c r="E7" s="5" t="s">
        <v>104</v>
      </c>
      <c r="F7" s="6"/>
    </row>
    <row r="8" spans="1:6" ht="33.6" x14ac:dyDescent="0.4">
      <c r="A8" s="6" t="s">
        <v>605</v>
      </c>
      <c r="B8" s="6" t="s">
        <v>606</v>
      </c>
      <c r="C8" s="6" t="s">
        <v>607</v>
      </c>
      <c r="D8" s="6" t="s">
        <v>608</v>
      </c>
      <c r="E8" s="5" t="s">
        <v>77</v>
      </c>
      <c r="F8" s="6"/>
    </row>
    <row r="10" spans="1:6" x14ac:dyDescent="0.4">
      <c r="A10" s="10" t="s">
        <v>609</v>
      </c>
      <c r="B10" s="11"/>
      <c r="C10" s="11"/>
      <c r="D10" s="11"/>
      <c r="E10" s="11"/>
      <c r="F10" s="11"/>
    </row>
    <row r="11" spans="1:6" x14ac:dyDescent="0.4">
      <c r="A11" s="4" t="s">
        <v>409</v>
      </c>
      <c r="B11" s="4" t="s">
        <v>595</v>
      </c>
      <c r="C11" s="4" t="s">
        <v>21</v>
      </c>
      <c r="D11" s="4" t="s">
        <v>610</v>
      </c>
      <c r="E11" s="4" t="s">
        <v>39</v>
      </c>
      <c r="F11" s="4" t="s">
        <v>611</v>
      </c>
    </row>
    <row r="12" spans="1:6" x14ac:dyDescent="0.4">
      <c r="A12" s="5" t="s">
        <v>612</v>
      </c>
      <c r="B12" s="6" t="s">
        <v>613</v>
      </c>
      <c r="C12" s="6" t="s">
        <v>614</v>
      </c>
      <c r="D12" s="6" t="s">
        <v>615</v>
      </c>
      <c r="E12" s="6" t="s">
        <v>616</v>
      </c>
      <c r="F12" s="6" t="s">
        <v>617</v>
      </c>
    </row>
    <row r="13" spans="1:6" ht="33.6" x14ac:dyDescent="0.4">
      <c r="A13" s="5" t="s">
        <v>618</v>
      </c>
      <c r="B13" s="6" t="s">
        <v>24</v>
      </c>
      <c r="C13" s="6" t="s">
        <v>619</v>
      </c>
      <c r="D13" s="6" t="s">
        <v>620</v>
      </c>
      <c r="E13" s="6" t="s">
        <v>621</v>
      </c>
      <c r="F13" s="6" t="s">
        <v>622</v>
      </c>
    </row>
    <row r="14" spans="1:6" ht="33.6" x14ac:dyDescent="0.4">
      <c r="A14" s="5" t="s">
        <v>623</v>
      </c>
      <c r="B14" s="6" t="s">
        <v>624</v>
      </c>
      <c r="C14" s="6" t="s">
        <v>625</v>
      </c>
      <c r="D14" s="6" t="s">
        <v>626</v>
      </c>
      <c r="E14" s="6" t="s">
        <v>627</v>
      </c>
      <c r="F14" s="6" t="s">
        <v>628</v>
      </c>
    </row>
    <row r="15" spans="1:6" ht="67.2" x14ac:dyDescent="0.4">
      <c r="A15" s="5" t="s">
        <v>629</v>
      </c>
      <c r="B15" s="6" t="s">
        <v>630</v>
      </c>
      <c r="C15" s="6" t="s">
        <v>631</v>
      </c>
      <c r="D15" s="6" t="s">
        <v>632</v>
      </c>
      <c r="E15" s="6" t="s">
        <v>633</v>
      </c>
      <c r="F15" s="6" t="s">
        <v>634</v>
      </c>
    </row>
    <row r="16" spans="1:6" ht="33.6" x14ac:dyDescent="0.4">
      <c r="A16" s="5" t="s">
        <v>635</v>
      </c>
      <c r="B16" s="6" t="s">
        <v>636</v>
      </c>
      <c r="C16" s="6" t="s">
        <v>544</v>
      </c>
      <c r="D16" s="6" t="s">
        <v>637</v>
      </c>
      <c r="E16" s="6" t="s">
        <v>638</v>
      </c>
      <c r="F16" s="6" t="s">
        <v>514</v>
      </c>
    </row>
    <row r="17" spans="1:6" ht="33.6" x14ac:dyDescent="0.4">
      <c r="A17" s="5" t="s">
        <v>639</v>
      </c>
      <c r="B17" s="6" t="s">
        <v>640</v>
      </c>
      <c r="C17" s="6" t="s">
        <v>319</v>
      </c>
      <c r="D17" s="6" t="s">
        <v>641</v>
      </c>
      <c r="E17" s="6" t="s">
        <v>642</v>
      </c>
      <c r="F17" s="6" t="s">
        <v>643</v>
      </c>
    </row>
    <row r="18" spans="1:6" ht="33.6" x14ac:dyDescent="0.4">
      <c r="A18" s="5" t="s">
        <v>644</v>
      </c>
      <c r="B18" s="6" t="s">
        <v>645</v>
      </c>
      <c r="C18" s="6" t="s">
        <v>646</v>
      </c>
      <c r="D18" s="6" t="s">
        <v>647</v>
      </c>
      <c r="E18" s="6" t="s">
        <v>648</v>
      </c>
      <c r="F18" s="6"/>
    </row>
    <row r="19" spans="1:6" ht="33.6" x14ac:dyDescent="0.4">
      <c r="A19" s="5" t="s">
        <v>649</v>
      </c>
      <c r="B19" s="6" t="s">
        <v>650</v>
      </c>
      <c r="C19" s="6" t="s">
        <v>651</v>
      </c>
      <c r="D19" s="6" t="s">
        <v>652</v>
      </c>
      <c r="E19" s="6" t="s">
        <v>653</v>
      </c>
      <c r="F19" s="6" t="s">
        <v>654</v>
      </c>
    </row>
    <row r="20" spans="1:6" ht="50.4" x14ac:dyDescent="0.4">
      <c r="A20" s="5" t="s">
        <v>655</v>
      </c>
      <c r="B20" s="6" t="s">
        <v>656</v>
      </c>
      <c r="C20" s="6" t="s">
        <v>657</v>
      </c>
      <c r="D20" s="6" t="s">
        <v>658</v>
      </c>
      <c r="E20" s="6" t="s">
        <v>659</v>
      </c>
      <c r="F20" s="6" t="s">
        <v>660</v>
      </c>
    </row>
    <row r="21" spans="1:6" ht="33.6" x14ac:dyDescent="0.4">
      <c r="A21" s="5" t="s">
        <v>661</v>
      </c>
      <c r="B21" s="6" t="s">
        <v>662</v>
      </c>
      <c r="C21" s="6" t="s">
        <v>663</v>
      </c>
      <c r="D21" s="6" t="s">
        <v>664</v>
      </c>
      <c r="E21" s="6" t="s">
        <v>665</v>
      </c>
      <c r="F21" s="6" t="s">
        <v>532</v>
      </c>
    </row>
    <row r="22" spans="1:6" ht="33.6" x14ac:dyDescent="0.4">
      <c r="A22" s="5" t="s">
        <v>666</v>
      </c>
      <c r="B22" s="6" t="s">
        <v>37</v>
      </c>
      <c r="C22" s="6" t="s">
        <v>667</v>
      </c>
      <c r="D22" s="6" t="s">
        <v>668</v>
      </c>
      <c r="E22" s="6" t="s">
        <v>669</v>
      </c>
      <c r="F22" s="6" t="s">
        <v>670</v>
      </c>
    </row>
    <row r="23" spans="1:6" x14ac:dyDescent="0.4">
      <c r="A23" s="5" t="s">
        <v>671</v>
      </c>
      <c r="B23" s="6" t="s">
        <v>672</v>
      </c>
      <c r="C23" s="6" t="s">
        <v>673</v>
      </c>
      <c r="D23" s="6" t="s">
        <v>674</v>
      </c>
      <c r="E23" s="6" t="s">
        <v>675</v>
      </c>
      <c r="F23" s="6" t="s">
        <v>78</v>
      </c>
    </row>
    <row r="25" spans="1:6" x14ac:dyDescent="0.4">
      <c r="A25" s="10" t="s">
        <v>676</v>
      </c>
      <c r="B25" s="11"/>
      <c r="C25" s="11"/>
      <c r="D25" s="11"/>
      <c r="E25" s="11"/>
      <c r="F25" s="11"/>
    </row>
    <row r="26" spans="1:6" x14ac:dyDescent="0.4">
      <c r="A26" s="4" t="s">
        <v>65</v>
      </c>
      <c r="B26" s="4" t="s">
        <v>677</v>
      </c>
      <c r="C26" s="4" t="s">
        <v>678</v>
      </c>
      <c r="D26" s="4"/>
      <c r="E26" s="4"/>
      <c r="F26" s="4"/>
    </row>
    <row r="27" spans="1:6" ht="50.4" x14ac:dyDescent="0.4">
      <c r="A27" s="5" t="s">
        <v>679</v>
      </c>
      <c r="B27" s="6" t="s">
        <v>680</v>
      </c>
      <c r="C27" s="6" t="s">
        <v>78</v>
      </c>
      <c r="D27" s="6"/>
      <c r="E27" s="6"/>
      <c r="F27" s="6"/>
    </row>
    <row r="28" spans="1:6" ht="33.6" x14ac:dyDescent="0.4">
      <c r="A28" s="5" t="s">
        <v>681</v>
      </c>
      <c r="B28" s="6" t="s">
        <v>682</v>
      </c>
      <c r="C28" s="6" t="s">
        <v>683</v>
      </c>
      <c r="D28" s="6"/>
      <c r="E28" s="6"/>
      <c r="F28" s="6"/>
    </row>
    <row r="29" spans="1:6" ht="33.6" x14ac:dyDescent="0.4">
      <c r="A29" s="5" t="s">
        <v>684</v>
      </c>
      <c r="B29" s="6" t="s">
        <v>685</v>
      </c>
      <c r="C29" s="6" t="s">
        <v>686</v>
      </c>
      <c r="D29" s="6"/>
      <c r="E29" s="6"/>
      <c r="F29" s="6"/>
    </row>
    <row r="30" spans="1:6" ht="50.4" x14ac:dyDescent="0.4">
      <c r="A30" s="5" t="s">
        <v>687</v>
      </c>
      <c r="B30" s="6" t="s">
        <v>688</v>
      </c>
      <c r="C30" s="6" t="s">
        <v>689</v>
      </c>
      <c r="D30" s="6"/>
      <c r="E30" s="6"/>
      <c r="F30" s="6"/>
    </row>
    <row r="31" spans="1:6" ht="50.4" x14ac:dyDescent="0.4">
      <c r="A31" s="5" t="s">
        <v>690</v>
      </c>
      <c r="B31" s="6" t="s">
        <v>691</v>
      </c>
      <c r="C31" s="6" t="s">
        <v>692</v>
      </c>
      <c r="D31" s="6"/>
      <c r="E31" s="6"/>
      <c r="F31" s="6"/>
    </row>
    <row r="32" spans="1:6" ht="33.6" x14ac:dyDescent="0.4">
      <c r="A32" s="5" t="s">
        <v>693</v>
      </c>
      <c r="B32" s="6" t="s">
        <v>694</v>
      </c>
      <c r="C32" s="6" t="s">
        <v>518</v>
      </c>
      <c r="D32" s="6"/>
      <c r="E32" s="6"/>
      <c r="F32" s="6"/>
    </row>
    <row r="33" spans="1:6" ht="50.4" x14ac:dyDescent="0.4">
      <c r="A33" s="5" t="s">
        <v>695</v>
      </c>
      <c r="B33" s="6" t="s">
        <v>696</v>
      </c>
      <c r="C33" s="6" t="s">
        <v>78</v>
      </c>
      <c r="D33" s="6"/>
      <c r="E33" s="6"/>
      <c r="F33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8F00"/>
  </sheetPr>
  <dimension ref="A1:F16"/>
  <sheetViews>
    <sheetView zoomScaleNormal="100" workbookViewId="0">
      <selection activeCell="L13" sqref="L13"/>
    </sheetView>
  </sheetViews>
  <sheetFormatPr defaultColWidth="8.6640625" defaultRowHeight="17.399999999999999" x14ac:dyDescent="0.4"/>
  <cols>
    <col min="1" max="1" width="7" style="2" customWidth="1"/>
    <col min="2" max="2" width="28" style="2" customWidth="1"/>
    <col min="3" max="3" width="22" style="2" customWidth="1"/>
    <col min="4" max="4" width="14" style="2" customWidth="1"/>
    <col min="5" max="5" width="16" style="2" customWidth="1"/>
    <col min="6" max="6" width="70" style="2" customWidth="1"/>
    <col min="7" max="16384" width="8.6640625" style="2"/>
  </cols>
  <sheetData>
    <row r="1" spans="1:6" ht="22.2" x14ac:dyDescent="0.5">
      <c r="A1" s="1" t="s">
        <v>697</v>
      </c>
    </row>
    <row r="2" spans="1:6" x14ac:dyDescent="0.4">
      <c r="A2" s="3" t="s">
        <v>698</v>
      </c>
    </row>
    <row r="4" spans="1:6" x14ac:dyDescent="0.4">
      <c r="A4" s="4" t="s">
        <v>65</v>
      </c>
      <c r="B4" s="4" t="s">
        <v>32</v>
      </c>
      <c r="C4" s="4" t="s">
        <v>699</v>
      </c>
      <c r="D4" s="4" t="s">
        <v>700</v>
      </c>
      <c r="E4" s="4" t="s">
        <v>701</v>
      </c>
      <c r="F4" s="4" t="s">
        <v>702</v>
      </c>
    </row>
    <row r="5" spans="1:6" x14ac:dyDescent="0.4">
      <c r="A5" s="5" t="s">
        <v>703</v>
      </c>
      <c r="B5" s="6" t="s">
        <v>704</v>
      </c>
      <c r="C5" s="18">
        <v>13</v>
      </c>
      <c r="D5" s="6" t="s">
        <v>705</v>
      </c>
      <c r="E5" s="6" t="s">
        <v>706</v>
      </c>
      <c r="F5" s="6" t="s">
        <v>707</v>
      </c>
    </row>
    <row r="6" spans="1:6" x14ac:dyDescent="0.4">
      <c r="A6" s="5" t="s">
        <v>708</v>
      </c>
      <c r="B6" s="6" t="s">
        <v>709</v>
      </c>
      <c r="C6" s="7" t="s">
        <v>710</v>
      </c>
      <c r="D6" s="6" t="s">
        <v>78</v>
      </c>
      <c r="E6" s="6" t="s">
        <v>706</v>
      </c>
      <c r="F6" s="6" t="s">
        <v>711</v>
      </c>
    </row>
    <row r="7" spans="1:6" x14ac:dyDescent="0.4">
      <c r="A7" s="5" t="s">
        <v>712</v>
      </c>
      <c r="B7" s="6" t="s">
        <v>713</v>
      </c>
      <c r="C7" s="7" t="s">
        <v>714</v>
      </c>
      <c r="D7" s="6" t="s">
        <v>78</v>
      </c>
      <c r="E7" s="6" t="s">
        <v>706</v>
      </c>
      <c r="F7" s="6" t="s">
        <v>715</v>
      </c>
    </row>
    <row r="8" spans="1:6" x14ac:dyDescent="0.4">
      <c r="A8" s="5" t="s">
        <v>716</v>
      </c>
      <c r="B8" s="6" t="s">
        <v>717</v>
      </c>
      <c r="C8" s="18">
        <v>1000</v>
      </c>
      <c r="D8" s="6" t="s">
        <v>718</v>
      </c>
      <c r="E8" s="6" t="s">
        <v>719</v>
      </c>
      <c r="F8" s="6" t="s">
        <v>720</v>
      </c>
    </row>
    <row r="9" spans="1:6" ht="33.6" x14ac:dyDescent="0.4">
      <c r="A9" s="5" t="s">
        <v>721</v>
      </c>
      <c r="B9" s="6" t="s">
        <v>722</v>
      </c>
      <c r="C9" s="18">
        <v>4</v>
      </c>
      <c r="D9" s="6" t="s">
        <v>705</v>
      </c>
      <c r="E9" s="6" t="s">
        <v>723</v>
      </c>
      <c r="F9" s="6" t="s">
        <v>724</v>
      </c>
    </row>
    <row r="10" spans="1:6" x14ac:dyDescent="0.4">
      <c r="A10" s="5" t="s">
        <v>725</v>
      </c>
      <c r="B10" s="6" t="s">
        <v>726</v>
      </c>
      <c r="C10" s="18">
        <v>0</v>
      </c>
      <c r="D10" s="6" t="s">
        <v>727</v>
      </c>
      <c r="E10" s="6" t="s">
        <v>723</v>
      </c>
      <c r="F10" s="6" t="s">
        <v>728</v>
      </c>
    </row>
    <row r="11" spans="1:6" x14ac:dyDescent="0.4">
      <c r="A11" s="5" t="s">
        <v>729</v>
      </c>
      <c r="B11" s="6" t="s">
        <v>730</v>
      </c>
      <c r="C11" s="18">
        <v>8</v>
      </c>
      <c r="D11" s="6" t="s">
        <v>705</v>
      </c>
      <c r="E11" s="6" t="s">
        <v>719</v>
      </c>
      <c r="F11" s="6" t="s">
        <v>731</v>
      </c>
    </row>
    <row r="12" spans="1:6" x14ac:dyDescent="0.4">
      <c r="A12" s="5" t="s">
        <v>732</v>
      </c>
      <c r="B12" s="6" t="s">
        <v>733</v>
      </c>
      <c r="C12" s="18">
        <v>4</v>
      </c>
      <c r="D12" s="6" t="s">
        <v>705</v>
      </c>
      <c r="E12" s="6" t="s">
        <v>719</v>
      </c>
      <c r="F12" s="6" t="s">
        <v>734</v>
      </c>
    </row>
    <row r="13" spans="1:6" x14ac:dyDescent="0.4">
      <c r="A13" s="5" t="s">
        <v>735</v>
      </c>
      <c r="B13" s="6" t="s">
        <v>736</v>
      </c>
      <c r="C13" s="18">
        <v>3</v>
      </c>
      <c r="D13" s="6" t="s">
        <v>737</v>
      </c>
      <c r="E13" s="6" t="s">
        <v>706</v>
      </c>
      <c r="F13" s="6" t="s">
        <v>738</v>
      </c>
    </row>
    <row r="14" spans="1:6" x14ac:dyDescent="0.4">
      <c r="A14" s="5" t="s">
        <v>739</v>
      </c>
      <c r="B14" s="6" t="s">
        <v>740</v>
      </c>
      <c r="C14" s="18">
        <v>50000</v>
      </c>
      <c r="D14" s="6" t="s">
        <v>741</v>
      </c>
      <c r="E14" s="6" t="s">
        <v>719</v>
      </c>
      <c r="F14" s="6" t="s">
        <v>742</v>
      </c>
    </row>
    <row r="15" spans="1:6" x14ac:dyDescent="0.4">
      <c r="A15" s="5" t="s">
        <v>743</v>
      </c>
      <c r="B15" s="6" t="s">
        <v>744</v>
      </c>
      <c r="C15" s="7" t="s">
        <v>745</v>
      </c>
      <c r="D15" s="6" t="s">
        <v>78</v>
      </c>
      <c r="E15" s="6" t="s">
        <v>723</v>
      </c>
      <c r="F15" s="6" t="s">
        <v>746</v>
      </c>
    </row>
    <row r="16" spans="1:6" x14ac:dyDescent="0.4">
      <c r="A16" s="5" t="s">
        <v>747</v>
      </c>
      <c r="B16" s="6" t="s">
        <v>748</v>
      </c>
      <c r="C16" s="7" t="s">
        <v>749</v>
      </c>
      <c r="D16" s="6" t="s">
        <v>78</v>
      </c>
      <c r="E16" s="6" t="s">
        <v>723</v>
      </c>
      <c r="F16" s="6" t="s">
        <v>750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</sheetPr>
  <dimension ref="A1:Q77"/>
  <sheetViews>
    <sheetView zoomScaleNormal="100" workbookViewId="0">
      <pane ySplit="11" topLeftCell="A71" activePane="bottomLeft" state="frozen"/>
      <selection pane="bottomLeft" activeCell="I53" sqref="I53"/>
    </sheetView>
  </sheetViews>
  <sheetFormatPr defaultColWidth="8.6640625" defaultRowHeight="17.399999999999999" x14ac:dyDescent="0.4"/>
  <cols>
    <col min="1" max="1" width="34" style="2" customWidth="1"/>
    <col min="2" max="2" width="16" style="2" customWidth="1"/>
    <col min="3" max="3" width="26" style="2" customWidth="1"/>
    <col min="4" max="4" width="16" style="2" customWidth="1"/>
    <col min="5" max="6" width="14" style="2" customWidth="1"/>
    <col min="7" max="9" width="16" style="2" customWidth="1"/>
    <col min="10" max="10" width="6" style="2" customWidth="1"/>
    <col min="11" max="11" width="16" style="2" customWidth="1"/>
    <col min="12" max="13" width="14" style="2" customWidth="1"/>
    <col min="14" max="16" width="16" style="2" customWidth="1"/>
    <col min="17" max="17" width="6" style="2" customWidth="1"/>
    <col min="18" max="16384" width="8.6640625" style="2"/>
  </cols>
  <sheetData>
    <row r="1" spans="1:17" ht="22.2" x14ac:dyDescent="0.5">
      <c r="A1" s="1" t="s">
        <v>751</v>
      </c>
    </row>
    <row r="2" spans="1:17" x14ac:dyDescent="0.4">
      <c r="A2" s="3" t="s">
        <v>752</v>
      </c>
    </row>
    <row r="3" spans="1:17" x14ac:dyDescent="0.4">
      <c r="A3" s="19" t="s">
        <v>753</v>
      </c>
      <c r="B3" s="20">
        <v>46307</v>
      </c>
    </row>
    <row r="4" spans="1:17" x14ac:dyDescent="0.4">
      <c r="A4" s="19" t="s">
        <v>754</v>
      </c>
      <c r="B4" s="21">
        <v>300000000</v>
      </c>
    </row>
    <row r="5" spans="1:17" x14ac:dyDescent="0.4">
      <c r="A5" s="19" t="s">
        <v>755</v>
      </c>
      <c r="B5" s="21">
        <v>160000000</v>
      </c>
    </row>
    <row r="6" spans="1:17" x14ac:dyDescent="0.4">
      <c r="A6" s="19" t="s">
        <v>756</v>
      </c>
      <c r="B6" s="22" t="s">
        <v>220</v>
      </c>
    </row>
    <row r="7" spans="1:17" x14ac:dyDescent="0.4">
      <c r="A7" s="19" t="s">
        <v>757</v>
      </c>
      <c r="B7" s="22" t="s">
        <v>547</v>
      </c>
    </row>
    <row r="8" spans="1:17" x14ac:dyDescent="0.4">
      <c r="A8" s="19" t="s">
        <v>758</v>
      </c>
      <c r="B8" s="23">
        <v>14</v>
      </c>
    </row>
    <row r="10" spans="1:17" x14ac:dyDescent="0.4">
      <c r="A10" s="24" t="s">
        <v>759</v>
      </c>
    </row>
    <row r="11" spans="1:17" ht="33.6" x14ac:dyDescent="0.4">
      <c r="A11" s="4" t="s">
        <v>760</v>
      </c>
      <c r="B11" s="4" t="s">
        <v>761</v>
      </c>
      <c r="C11" s="4" t="s">
        <v>762</v>
      </c>
      <c r="D11" s="4" t="s">
        <v>763</v>
      </c>
      <c r="E11" s="4" t="s">
        <v>764</v>
      </c>
      <c r="F11" s="4" t="s">
        <v>765</v>
      </c>
      <c r="G11" s="4" t="s">
        <v>766</v>
      </c>
      <c r="H11" s="4" t="s">
        <v>72</v>
      </c>
      <c r="I11" s="4" t="s">
        <v>767</v>
      </c>
      <c r="J11" s="4" t="s">
        <v>768</v>
      </c>
      <c r="K11" s="4" t="s">
        <v>769</v>
      </c>
      <c r="L11" s="4" t="s">
        <v>764</v>
      </c>
      <c r="M11" s="4" t="s">
        <v>765</v>
      </c>
      <c r="N11" s="4" t="s">
        <v>766</v>
      </c>
      <c r="O11" s="4" t="s">
        <v>72</v>
      </c>
      <c r="P11" s="4" t="s">
        <v>767</v>
      </c>
      <c r="Q11" s="4" t="s">
        <v>768</v>
      </c>
    </row>
    <row r="12" spans="1:17" x14ac:dyDescent="0.4">
      <c r="A12" s="15">
        <v>1</v>
      </c>
      <c r="B12" s="25">
        <f t="shared" ref="B12:B24" si="0">$B$3+7*(A12-1)</f>
        <v>46307</v>
      </c>
      <c r="C12" s="25">
        <f t="shared" ref="C12:C24" si="1">B12+6</f>
        <v>46313</v>
      </c>
      <c r="D12" s="26">
        <f>$B$4</f>
        <v>300000000</v>
      </c>
      <c r="E12" s="26">
        <f t="shared" ref="E12:E24" si="2">SUMIFS($D$36:$D$74,$B$36:$B$74,"&gt;="&amp;B12,$B$36:$B$74,"&lt;="&amp;C12,$E$36:$E$74,$B$6,$D$36:$D$74,"&gt;0")</f>
        <v>100000000</v>
      </c>
      <c r="F12" s="26">
        <f t="shared" ref="F12:F24" si="3">SUMIFS($D$36:$D$74,$B$36:$B$74,"&gt;="&amp;B12,$B$36:$B$74,"&lt;="&amp;C12,$E$36:$E$74,$B$6,$D$36:$D$74,"&lt;0")</f>
        <v>-120000000</v>
      </c>
      <c r="G12" s="26">
        <f t="shared" ref="G12:G24" si="4">D12+E12+F12</f>
        <v>280000000</v>
      </c>
      <c r="H12" s="15" t="str">
        <f t="shared" ref="H12:H24" si="5">IF(G12&lt;0,"TIỀN ÂM",IF(G12&lt;$B$5,"DƯỚI NGƯỠNG","OK"))</f>
        <v>OK</v>
      </c>
      <c r="I12" s="26">
        <f t="shared" ref="I12:I24" si="6">MAX(0,$B$5-G12)</f>
        <v>0</v>
      </c>
      <c r="J12" s="15">
        <f t="shared" ref="J12:J24" si="7">IF(G12&lt;$B$5,1,0)</f>
        <v>0</v>
      </c>
      <c r="K12" s="26">
        <f>$B$4</f>
        <v>300000000</v>
      </c>
      <c r="L12" s="26">
        <f t="shared" ref="L12:L24" si="8">SUMIFS($D$36:$D$74,$H$36:$H$74,"&gt;="&amp;B12,$H$36:$H$74,"&lt;="&amp;C12,$E$36:$E$74,$B$6,$D$36:$D$74,"&gt;0")</f>
        <v>100000000</v>
      </c>
      <c r="M12" s="26">
        <f t="shared" ref="M12:M24" si="9">SUMIFS($D$36:$D$74,$H$36:$H$74,"&gt;="&amp;B12,$H$36:$H$74,"&lt;="&amp;C12,$E$36:$E$74,$B$6,$D$36:$D$74,"&lt;0")</f>
        <v>-120000000</v>
      </c>
      <c r="N12" s="26">
        <f t="shared" ref="N12:N24" si="10">K12+L12+M12</f>
        <v>280000000</v>
      </c>
      <c r="O12" s="15" t="str">
        <f t="shared" ref="O12:O24" si="11">IF(N12&lt;0,"TIỀN ÂM",IF(N12&lt;$B$5,"DƯỚI NGƯỠNG","OK"))</f>
        <v>OK</v>
      </c>
      <c r="P12" s="26">
        <f t="shared" ref="P12:P24" si="12">MAX(0,$B$5-N12)</f>
        <v>0</v>
      </c>
      <c r="Q12" s="15">
        <f t="shared" ref="Q12:Q24" si="13">IF(N12&lt;$B$5,1,0)</f>
        <v>0</v>
      </c>
    </row>
    <row r="13" spans="1:17" x14ac:dyDescent="0.4">
      <c r="A13" s="15">
        <v>2</v>
      </c>
      <c r="B13" s="25">
        <f t="shared" si="0"/>
        <v>46314</v>
      </c>
      <c r="C13" s="25">
        <f t="shared" si="1"/>
        <v>46320</v>
      </c>
      <c r="D13" s="26">
        <f t="shared" ref="D13:D24" si="14">G12</f>
        <v>280000000</v>
      </c>
      <c r="E13" s="26">
        <f t="shared" si="2"/>
        <v>50000000</v>
      </c>
      <c r="F13" s="26">
        <f t="shared" si="3"/>
        <v>-180000000</v>
      </c>
      <c r="G13" s="26">
        <f t="shared" si="4"/>
        <v>150000000</v>
      </c>
      <c r="H13" s="15" t="str">
        <f t="shared" si="5"/>
        <v>DƯỚI NGƯỠNG</v>
      </c>
      <c r="I13" s="26">
        <f t="shared" si="6"/>
        <v>10000000</v>
      </c>
      <c r="J13" s="15">
        <f t="shared" si="7"/>
        <v>1</v>
      </c>
      <c r="K13" s="26">
        <f t="shared" ref="K13:K24" si="15">N12</f>
        <v>280000000</v>
      </c>
      <c r="L13" s="26">
        <f t="shared" si="8"/>
        <v>50000000</v>
      </c>
      <c r="M13" s="26">
        <f t="shared" si="9"/>
        <v>-50000000</v>
      </c>
      <c r="N13" s="26">
        <f t="shared" si="10"/>
        <v>280000000</v>
      </c>
      <c r="O13" s="15" t="str">
        <f t="shared" si="11"/>
        <v>OK</v>
      </c>
      <c r="P13" s="26">
        <f t="shared" si="12"/>
        <v>0</v>
      </c>
      <c r="Q13" s="15">
        <f t="shared" si="13"/>
        <v>0</v>
      </c>
    </row>
    <row r="14" spans="1:17" x14ac:dyDescent="0.4">
      <c r="A14" s="15">
        <v>3</v>
      </c>
      <c r="B14" s="25">
        <f t="shared" si="0"/>
        <v>46321</v>
      </c>
      <c r="C14" s="25">
        <f t="shared" si="1"/>
        <v>46327</v>
      </c>
      <c r="D14" s="26">
        <f t="shared" si="14"/>
        <v>150000000</v>
      </c>
      <c r="E14" s="26">
        <f t="shared" si="2"/>
        <v>90000000</v>
      </c>
      <c r="F14" s="26">
        <f t="shared" si="3"/>
        <v>-60000000</v>
      </c>
      <c r="G14" s="26">
        <f t="shared" si="4"/>
        <v>180000000</v>
      </c>
      <c r="H14" s="15" t="str">
        <f t="shared" si="5"/>
        <v>OK</v>
      </c>
      <c r="I14" s="26">
        <f t="shared" si="6"/>
        <v>0</v>
      </c>
      <c r="J14" s="15">
        <f t="shared" si="7"/>
        <v>0</v>
      </c>
      <c r="K14" s="26">
        <f t="shared" si="15"/>
        <v>280000000</v>
      </c>
      <c r="L14" s="26">
        <f t="shared" si="8"/>
        <v>90000000</v>
      </c>
      <c r="M14" s="26">
        <f t="shared" si="9"/>
        <v>-60000000</v>
      </c>
      <c r="N14" s="26">
        <f t="shared" si="10"/>
        <v>310000000</v>
      </c>
      <c r="O14" s="15" t="str">
        <f t="shared" si="11"/>
        <v>OK</v>
      </c>
      <c r="P14" s="26">
        <f t="shared" si="12"/>
        <v>0</v>
      </c>
      <c r="Q14" s="15">
        <f t="shared" si="13"/>
        <v>0</v>
      </c>
    </row>
    <row r="15" spans="1:17" x14ac:dyDescent="0.4">
      <c r="A15" s="15">
        <v>4</v>
      </c>
      <c r="B15" s="25">
        <f t="shared" si="0"/>
        <v>46328</v>
      </c>
      <c r="C15" s="25">
        <f t="shared" si="1"/>
        <v>46334</v>
      </c>
      <c r="D15" s="26">
        <f t="shared" si="14"/>
        <v>180000000</v>
      </c>
      <c r="E15" s="26">
        <f t="shared" si="2"/>
        <v>110000000</v>
      </c>
      <c r="F15" s="26">
        <f t="shared" si="3"/>
        <v>-130000000</v>
      </c>
      <c r="G15" s="26">
        <f t="shared" si="4"/>
        <v>160000000</v>
      </c>
      <c r="H15" s="15" t="str">
        <f t="shared" si="5"/>
        <v>OK</v>
      </c>
      <c r="I15" s="26">
        <f t="shared" si="6"/>
        <v>0</v>
      </c>
      <c r="J15" s="15">
        <f t="shared" si="7"/>
        <v>0</v>
      </c>
      <c r="K15" s="26">
        <f t="shared" si="15"/>
        <v>310000000</v>
      </c>
      <c r="L15" s="26">
        <f t="shared" si="8"/>
        <v>110000000</v>
      </c>
      <c r="M15" s="26">
        <f t="shared" si="9"/>
        <v>-260000000</v>
      </c>
      <c r="N15" s="26">
        <f t="shared" si="10"/>
        <v>160000000</v>
      </c>
      <c r="O15" s="15" t="str">
        <f t="shared" si="11"/>
        <v>OK</v>
      </c>
      <c r="P15" s="26">
        <f t="shared" si="12"/>
        <v>0</v>
      </c>
      <c r="Q15" s="15">
        <f t="shared" si="13"/>
        <v>0</v>
      </c>
    </row>
    <row r="16" spans="1:17" x14ac:dyDescent="0.4">
      <c r="A16" s="15">
        <v>5</v>
      </c>
      <c r="B16" s="25">
        <f t="shared" si="0"/>
        <v>46335</v>
      </c>
      <c r="C16" s="25">
        <f t="shared" si="1"/>
        <v>46341</v>
      </c>
      <c r="D16" s="26">
        <f t="shared" si="14"/>
        <v>160000000</v>
      </c>
      <c r="E16" s="26">
        <f t="shared" si="2"/>
        <v>120000000</v>
      </c>
      <c r="F16" s="26">
        <f t="shared" si="3"/>
        <v>-90000000</v>
      </c>
      <c r="G16" s="26">
        <f t="shared" si="4"/>
        <v>190000000</v>
      </c>
      <c r="H16" s="15" t="str">
        <f t="shared" si="5"/>
        <v>OK</v>
      </c>
      <c r="I16" s="26">
        <f t="shared" si="6"/>
        <v>0</v>
      </c>
      <c r="J16" s="15">
        <f t="shared" si="7"/>
        <v>0</v>
      </c>
      <c r="K16" s="26">
        <f t="shared" si="15"/>
        <v>160000000</v>
      </c>
      <c r="L16" s="26">
        <f t="shared" si="8"/>
        <v>120000000</v>
      </c>
      <c r="M16" s="26">
        <f t="shared" si="9"/>
        <v>-90000000</v>
      </c>
      <c r="N16" s="26">
        <f t="shared" si="10"/>
        <v>190000000</v>
      </c>
      <c r="O16" s="15" t="str">
        <f t="shared" si="11"/>
        <v>OK</v>
      </c>
      <c r="P16" s="26">
        <f t="shared" si="12"/>
        <v>0</v>
      </c>
      <c r="Q16" s="15">
        <f t="shared" si="13"/>
        <v>0</v>
      </c>
    </row>
    <row r="17" spans="1:17" x14ac:dyDescent="0.4">
      <c r="A17" s="15">
        <v>6</v>
      </c>
      <c r="B17" s="25">
        <f t="shared" si="0"/>
        <v>46342</v>
      </c>
      <c r="C17" s="25">
        <f t="shared" si="1"/>
        <v>46348</v>
      </c>
      <c r="D17" s="26">
        <f t="shared" si="14"/>
        <v>190000000</v>
      </c>
      <c r="E17" s="26">
        <f t="shared" si="2"/>
        <v>130000000</v>
      </c>
      <c r="F17" s="26">
        <f t="shared" si="3"/>
        <v>-100000000</v>
      </c>
      <c r="G17" s="26">
        <f t="shared" si="4"/>
        <v>220000000</v>
      </c>
      <c r="H17" s="15" t="str">
        <f t="shared" si="5"/>
        <v>OK</v>
      </c>
      <c r="I17" s="26">
        <f t="shared" si="6"/>
        <v>0</v>
      </c>
      <c r="J17" s="15">
        <f t="shared" si="7"/>
        <v>0</v>
      </c>
      <c r="K17" s="26">
        <f t="shared" si="15"/>
        <v>190000000</v>
      </c>
      <c r="L17" s="26">
        <f t="shared" si="8"/>
        <v>130000000</v>
      </c>
      <c r="M17" s="26">
        <f t="shared" si="9"/>
        <v>-100000000</v>
      </c>
      <c r="N17" s="26">
        <f t="shared" si="10"/>
        <v>220000000</v>
      </c>
      <c r="O17" s="15" t="str">
        <f t="shared" si="11"/>
        <v>OK</v>
      </c>
      <c r="P17" s="26">
        <f t="shared" si="12"/>
        <v>0</v>
      </c>
      <c r="Q17" s="15">
        <f t="shared" si="13"/>
        <v>0</v>
      </c>
    </row>
    <row r="18" spans="1:17" x14ac:dyDescent="0.4">
      <c r="A18" s="15">
        <v>7</v>
      </c>
      <c r="B18" s="25">
        <f t="shared" si="0"/>
        <v>46349</v>
      </c>
      <c r="C18" s="25">
        <f t="shared" si="1"/>
        <v>46355</v>
      </c>
      <c r="D18" s="26">
        <f t="shared" si="14"/>
        <v>220000000</v>
      </c>
      <c r="E18" s="26">
        <f t="shared" si="2"/>
        <v>100000000</v>
      </c>
      <c r="F18" s="26">
        <f t="shared" si="3"/>
        <v>-110000000</v>
      </c>
      <c r="G18" s="26">
        <f t="shared" si="4"/>
        <v>210000000</v>
      </c>
      <c r="H18" s="15" t="str">
        <f t="shared" si="5"/>
        <v>OK</v>
      </c>
      <c r="I18" s="26">
        <f t="shared" si="6"/>
        <v>0</v>
      </c>
      <c r="J18" s="15">
        <f t="shared" si="7"/>
        <v>0</v>
      </c>
      <c r="K18" s="26">
        <f t="shared" si="15"/>
        <v>220000000</v>
      </c>
      <c r="L18" s="26">
        <f t="shared" si="8"/>
        <v>100000000</v>
      </c>
      <c r="M18" s="26">
        <f t="shared" si="9"/>
        <v>-110000000</v>
      </c>
      <c r="N18" s="26">
        <f t="shared" si="10"/>
        <v>210000000</v>
      </c>
      <c r="O18" s="15" t="str">
        <f t="shared" si="11"/>
        <v>OK</v>
      </c>
      <c r="P18" s="26">
        <f t="shared" si="12"/>
        <v>0</v>
      </c>
      <c r="Q18" s="15">
        <f t="shared" si="13"/>
        <v>0</v>
      </c>
    </row>
    <row r="19" spans="1:17" x14ac:dyDescent="0.4">
      <c r="A19" s="15">
        <v>8</v>
      </c>
      <c r="B19" s="25">
        <f t="shared" si="0"/>
        <v>46356</v>
      </c>
      <c r="C19" s="25">
        <f t="shared" si="1"/>
        <v>46362</v>
      </c>
      <c r="D19" s="26">
        <f t="shared" si="14"/>
        <v>210000000</v>
      </c>
      <c r="E19" s="26">
        <f t="shared" si="2"/>
        <v>140000000</v>
      </c>
      <c r="F19" s="26">
        <f t="shared" si="3"/>
        <v>-90000000</v>
      </c>
      <c r="G19" s="26">
        <f t="shared" si="4"/>
        <v>260000000</v>
      </c>
      <c r="H19" s="15" t="str">
        <f t="shared" si="5"/>
        <v>OK</v>
      </c>
      <c r="I19" s="26">
        <f t="shared" si="6"/>
        <v>0</v>
      </c>
      <c r="J19" s="15">
        <f t="shared" si="7"/>
        <v>0</v>
      </c>
      <c r="K19" s="26">
        <f t="shared" si="15"/>
        <v>210000000</v>
      </c>
      <c r="L19" s="26">
        <f t="shared" si="8"/>
        <v>140000000</v>
      </c>
      <c r="M19" s="26">
        <f t="shared" si="9"/>
        <v>-90000000</v>
      </c>
      <c r="N19" s="26">
        <f t="shared" si="10"/>
        <v>260000000</v>
      </c>
      <c r="O19" s="15" t="str">
        <f t="shared" si="11"/>
        <v>OK</v>
      </c>
      <c r="P19" s="26">
        <f t="shared" si="12"/>
        <v>0</v>
      </c>
      <c r="Q19" s="15">
        <f t="shared" si="13"/>
        <v>0</v>
      </c>
    </row>
    <row r="20" spans="1:17" x14ac:dyDescent="0.4">
      <c r="A20" s="15">
        <v>9</v>
      </c>
      <c r="B20" s="25">
        <f t="shared" si="0"/>
        <v>46363</v>
      </c>
      <c r="C20" s="25">
        <f t="shared" si="1"/>
        <v>46369</v>
      </c>
      <c r="D20" s="26">
        <f t="shared" si="14"/>
        <v>260000000</v>
      </c>
      <c r="E20" s="26">
        <f t="shared" si="2"/>
        <v>150000000</v>
      </c>
      <c r="F20" s="26">
        <f t="shared" si="3"/>
        <v>-120000000</v>
      </c>
      <c r="G20" s="26">
        <f t="shared" si="4"/>
        <v>290000000</v>
      </c>
      <c r="H20" s="15" t="str">
        <f t="shared" si="5"/>
        <v>OK</v>
      </c>
      <c r="I20" s="26">
        <f t="shared" si="6"/>
        <v>0</v>
      </c>
      <c r="J20" s="15">
        <f t="shared" si="7"/>
        <v>0</v>
      </c>
      <c r="K20" s="26">
        <f t="shared" si="15"/>
        <v>260000000</v>
      </c>
      <c r="L20" s="26">
        <f t="shared" si="8"/>
        <v>150000000</v>
      </c>
      <c r="M20" s="26">
        <f t="shared" si="9"/>
        <v>-120000000</v>
      </c>
      <c r="N20" s="26">
        <f t="shared" si="10"/>
        <v>290000000</v>
      </c>
      <c r="O20" s="15" t="str">
        <f t="shared" si="11"/>
        <v>OK</v>
      </c>
      <c r="P20" s="26">
        <f t="shared" si="12"/>
        <v>0</v>
      </c>
      <c r="Q20" s="15">
        <f t="shared" si="13"/>
        <v>0</v>
      </c>
    </row>
    <row r="21" spans="1:17" x14ac:dyDescent="0.4">
      <c r="A21" s="15">
        <v>10</v>
      </c>
      <c r="B21" s="25">
        <f t="shared" si="0"/>
        <v>46370</v>
      </c>
      <c r="C21" s="25">
        <f t="shared" si="1"/>
        <v>46376</v>
      </c>
      <c r="D21" s="26">
        <f t="shared" si="14"/>
        <v>290000000</v>
      </c>
      <c r="E21" s="26">
        <f t="shared" si="2"/>
        <v>120000000</v>
      </c>
      <c r="F21" s="26">
        <f t="shared" si="3"/>
        <v>-100000000</v>
      </c>
      <c r="G21" s="26">
        <f t="shared" si="4"/>
        <v>310000000</v>
      </c>
      <c r="H21" s="15" t="str">
        <f t="shared" si="5"/>
        <v>OK</v>
      </c>
      <c r="I21" s="26">
        <f t="shared" si="6"/>
        <v>0</v>
      </c>
      <c r="J21" s="15">
        <f t="shared" si="7"/>
        <v>0</v>
      </c>
      <c r="K21" s="26">
        <f t="shared" si="15"/>
        <v>290000000</v>
      </c>
      <c r="L21" s="26">
        <f t="shared" si="8"/>
        <v>120000000</v>
      </c>
      <c r="M21" s="26">
        <f t="shared" si="9"/>
        <v>-100000000</v>
      </c>
      <c r="N21" s="26">
        <f t="shared" si="10"/>
        <v>310000000</v>
      </c>
      <c r="O21" s="15" t="str">
        <f t="shared" si="11"/>
        <v>OK</v>
      </c>
      <c r="P21" s="26">
        <f t="shared" si="12"/>
        <v>0</v>
      </c>
      <c r="Q21" s="15">
        <f t="shared" si="13"/>
        <v>0</v>
      </c>
    </row>
    <row r="22" spans="1:17" x14ac:dyDescent="0.4">
      <c r="A22" s="15">
        <v>11</v>
      </c>
      <c r="B22" s="25">
        <f t="shared" si="0"/>
        <v>46377</v>
      </c>
      <c r="C22" s="25">
        <f t="shared" si="1"/>
        <v>46383</v>
      </c>
      <c r="D22" s="26">
        <f t="shared" si="14"/>
        <v>310000000</v>
      </c>
      <c r="E22" s="26">
        <f t="shared" si="2"/>
        <v>130000000</v>
      </c>
      <c r="F22" s="26">
        <f t="shared" si="3"/>
        <v>-140000000</v>
      </c>
      <c r="G22" s="26">
        <f t="shared" si="4"/>
        <v>300000000</v>
      </c>
      <c r="H22" s="15" t="str">
        <f t="shared" si="5"/>
        <v>OK</v>
      </c>
      <c r="I22" s="26">
        <f t="shared" si="6"/>
        <v>0</v>
      </c>
      <c r="J22" s="15">
        <f t="shared" si="7"/>
        <v>0</v>
      </c>
      <c r="K22" s="26">
        <f t="shared" si="15"/>
        <v>310000000</v>
      </c>
      <c r="L22" s="26">
        <f t="shared" si="8"/>
        <v>130000000</v>
      </c>
      <c r="M22" s="26">
        <f t="shared" si="9"/>
        <v>-140000000</v>
      </c>
      <c r="N22" s="26">
        <f t="shared" si="10"/>
        <v>300000000</v>
      </c>
      <c r="O22" s="15" t="str">
        <f t="shared" si="11"/>
        <v>OK</v>
      </c>
      <c r="P22" s="26">
        <f t="shared" si="12"/>
        <v>0</v>
      </c>
      <c r="Q22" s="15">
        <f t="shared" si="13"/>
        <v>0</v>
      </c>
    </row>
    <row r="23" spans="1:17" x14ac:dyDescent="0.4">
      <c r="A23" s="15">
        <v>12</v>
      </c>
      <c r="B23" s="25">
        <f t="shared" si="0"/>
        <v>46384</v>
      </c>
      <c r="C23" s="25">
        <f t="shared" si="1"/>
        <v>46390</v>
      </c>
      <c r="D23" s="26">
        <f t="shared" si="14"/>
        <v>300000000</v>
      </c>
      <c r="E23" s="26">
        <f t="shared" si="2"/>
        <v>160000000</v>
      </c>
      <c r="F23" s="26">
        <f t="shared" si="3"/>
        <v>-110000000</v>
      </c>
      <c r="G23" s="26">
        <f t="shared" si="4"/>
        <v>350000000</v>
      </c>
      <c r="H23" s="15" t="str">
        <f t="shared" si="5"/>
        <v>OK</v>
      </c>
      <c r="I23" s="26">
        <f t="shared" si="6"/>
        <v>0</v>
      </c>
      <c r="J23" s="15">
        <f t="shared" si="7"/>
        <v>0</v>
      </c>
      <c r="K23" s="26">
        <f t="shared" si="15"/>
        <v>300000000</v>
      </c>
      <c r="L23" s="26">
        <f t="shared" si="8"/>
        <v>160000000</v>
      </c>
      <c r="M23" s="26">
        <f t="shared" si="9"/>
        <v>-110000000</v>
      </c>
      <c r="N23" s="26">
        <f t="shared" si="10"/>
        <v>350000000</v>
      </c>
      <c r="O23" s="15" t="str">
        <f t="shared" si="11"/>
        <v>OK</v>
      </c>
      <c r="P23" s="26">
        <f t="shared" si="12"/>
        <v>0</v>
      </c>
      <c r="Q23" s="15">
        <f t="shared" si="13"/>
        <v>0</v>
      </c>
    </row>
    <row r="24" spans="1:17" x14ac:dyDescent="0.4">
      <c r="A24" s="15">
        <v>13</v>
      </c>
      <c r="B24" s="25">
        <f t="shared" si="0"/>
        <v>46391</v>
      </c>
      <c r="C24" s="25">
        <f t="shared" si="1"/>
        <v>46397</v>
      </c>
      <c r="D24" s="26">
        <f t="shared" si="14"/>
        <v>350000000</v>
      </c>
      <c r="E24" s="26">
        <f t="shared" si="2"/>
        <v>140000000</v>
      </c>
      <c r="F24" s="26">
        <f t="shared" si="3"/>
        <v>-120000000</v>
      </c>
      <c r="G24" s="26">
        <f t="shared" si="4"/>
        <v>370000000</v>
      </c>
      <c r="H24" s="15" t="str">
        <f t="shared" si="5"/>
        <v>OK</v>
      </c>
      <c r="I24" s="26">
        <f t="shared" si="6"/>
        <v>0</v>
      </c>
      <c r="J24" s="15">
        <f t="shared" si="7"/>
        <v>0</v>
      </c>
      <c r="K24" s="26">
        <f t="shared" si="15"/>
        <v>350000000</v>
      </c>
      <c r="L24" s="26">
        <f t="shared" si="8"/>
        <v>140000000</v>
      </c>
      <c r="M24" s="26">
        <f t="shared" si="9"/>
        <v>-120000000</v>
      </c>
      <c r="N24" s="26">
        <f t="shared" si="10"/>
        <v>370000000</v>
      </c>
      <c r="O24" s="15" t="str">
        <f t="shared" si="11"/>
        <v>OK</v>
      </c>
      <c r="P24" s="26">
        <f t="shared" si="12"/>
        <v>0</v>
      </c>
      <c r="Q24" s="15">
        <f t="shared" si="13"/>
        <v>0</v>
      </c>
    </row>
    <row r="26" spans="1:17" x14ac:dyDescent="0.4">
      <c r="A26" s="24" t="s">
        <v>770</v>
      </c>
    </row>
    <row r="27" spans="1:17" x14ac:dyDescent="0.4">
      <c r="A27" s="27" t="s">
        <v>771</v>
      </c>
      <c r="B27" s="27" t="s">
        <v>772</v>
      </c>
      <c r="C27" s="27" t="s">
        <v>37</v>
      </c>
    </row>
    <row r="28" spans="1:17" x14ac:dyDescent="0.4">
      <c r="A28" s="15" t="s">
        <v>773</v>
      </c>
      <c r="B28" s="28">
        <f>IFERROR(INDEX($A$12:$A$24,MATCH(1,$J$12:$J$24,0)),"Không có")</f>
        <v>2</v>
      </c>
      <c r="C28" s="28" t="str">
        <f>IFERROR(INDEX($A$12:$A$24,MATCH(1,$Q$12:$Q$24,0)),"Không có")</f>
        <v>Không có</v>
      </c>
    </row>
    <row r="29" spans="1:17" x14ac:dyDescent="0.4">
      <c r="A29" s="15" t="s">
        <v>774</v>
      </c>
      <c r="B29" s="29">
        <f>MIN($G$12:$G$24)</f>
        <v>150000000</v>
      </c>
      <c r="C29" s="29">
        <f>MIN($N$12:$N$24)</f>
        <v>160000000</v>
      </c>
    </row>
    <row r="30" spans="1:17" x14ac:dyDescent="0.4">
      <c r="A30" s="15" t="s">
        <v>775</v>
      </c>
      <c r="B30" s="28">
        <f>SUM($J$12:$J$24)</f>
        <v>1</v>
      </c>
      <c r="C30" s="28">
        <f>SUM($Q$12:$Q$24)</f>
        <v>0</v>
      </c>
    </row>
    <row r="31" spans="1:17" x14ac:dyDescent="0.4">
      <c r="A31" s="15" t="s">
        <v>776</v>
      </c>
      <c r="B31" s="29">
        <f>MAX($I$12:$I$24)</f>
        <v>10000000</v>
      </c>
      <c r="C31" s="29">
        <f>MAX($P$12:$P$24)</f>
        <v>0</v>
      </c>
    </row>
    <row r="32" spans="1:17" x14ac:dyDescent="0.4">
      <c r="A32" s="15" t="s">
        <v>777</v>
      </c>
      <c r="B32" s="29">
        <f>$G$24</f>
        <v>370000000</v>
      </c>
      <c r="C32" s="29">
        <f>$N$24</f>
        <v>370000000</v>
      </c>
    </row>
    <row r="34" spans="1:8" x14ac:dyDescent="0.4">
      <c r="A34" s="24" t="s">
        <v>778</v>
      </c>
    </row>
    <row r="35" spans="1:8" x14ac:dyDescent="0.4">
      <c r="A35" s="27" t="s">
        <v>545</v>
      </c>
      <c r="B35" s="27" t="s">
        <v>189</v>
      </c>
      <c r="C35" s="27" t="s">
        <v>224</v>
      </c>
      <c r="D35" s="27" t="s">
        <v>197</v>
      </c>
      <c r="E35" s="27" t="s">
        <v>216</v>
      </c>
      <c r="F35" s="27" t="s">
        <v>550</v>
      </c>
      <c r="G35" s="27" t="s">
        <v>271</v>
      </c>
      <c r="H35" s="27" t="s">
        <v>779</v>
      </c>
    </row>
    <row r="36" spans="1:8" x14ac:dyDescent="0.4">
      <c r="A36" s="30" t="s">
        <v>780</v>
      </c>
      <c r="B36" s="31">
        <v>46310</v>
      </c>
      <c r="C36" s="32" t="s">
        <v>781</v>
      </c>
      <c r="D36" s="33">
        <v>100000000</v>
      </c>
      <c r="E36" s="32" t="s">
        <v>220</v>
      </c>
      <c r="F36" s="32" t="s">
        <v>782</v>
      </c>
      <c r="G36" s="32" t="s">
        <v>554</v>
      </c>
      <c r="H36" s="34">
        <f t="shared" ref="H36:H74" si="16">IF(A36=$B$7,B36+$B$8,B36)</f>
        <v>46310</v>
      </c>
    </row>
    <row r="37" spans="1:8" x14ac:dyDescent="0.4">
      <c r="A37" s="30" t="s">
        <v>783</v>
      </c>
      <c r="B37" s="31">
        <v>46309</v>
      </c>
      <c r="C37" s="32" t="s">
        <v>784</v>
      </c>
      <c r="D37" s="33">
        <v>-80000000</v>
      </c>
      <c r="E37" s="32" t="s">
        <v>220</v>
      </c>
      <c r="F37" s="32" t="s">
        <v>552</v>
      </c>
      <c r="G37" s="32" t="s">
        <v>554</v>
      </c>
      <c r="H37" s="34">
        <f t="shared" si="16"/>
        <v>46309</v>
      </c>
    </row>
    <row r="38" spans="1:8" x14ac:dyDescent="0.4">
      <c r="A38" s="30" t="s">
        <v>785</v>
      </c>
      <c r="B38" s="31">
        <v>46311</v>
      </c>
      <c r="C38" s="32" t="s">
        <v>786</v>
      </c>
      <c r="D38" s="33">
        <v>-40000000</v>
      </c>
      <c r="E38" s="32" t="s">
        <v>220</v>
      </c>
      <c r="F38" s="32" t="s">
        <v>787</v>
      </c>
      <c r="G38" s="32" t="s">
        <v>554</v>
      </c>
      <c r="H38" s="34">
        <f t="shared" si="16"/>
        <v>46311</v>
      </c>
    </row>
    <row r="39" spans="1:8" x14ac:dyDescent="0.4">
      <c r="A39" s="30" t="s">
        <v>788</v>
      </c>
      <c r="B39" s="31">
        <v>46317</v>
      </c>
      <c r="C39" s="32" t="s">
        <v>781</v>
      </c>
      <c r="D39" s="33">
        <v>50000000</v>
      </c>
      <c r="E39" s="32" t="s">
        <v>220</v>
      </c>
      <c r="F39" s="32" t="s">
        <v>782</v>
      </c>
      <c r="G39" s="32" t="s">
        <v>554</v>
      </c>
      <c r="H39" s="34">
        <f t="shared" si="16"/>
        <v>46317</v>
      </c>
    </row>
    <row r="40" spans="1:8" x14ac:dyDescent="0.4">
      <c r="A40" s="30" t="s">
        <v>547</v>
      </c>
      <c r="B40" s="31">
        <v>46317</v>
      </c>
      <c r="C40" s="32" t="s">
        <v>784</v>
      </c>
      <c r="D40" s="33">
        <v>-130000000</v>
      </c>
      <c r="E40" s="32" t="s">
        <v>220</v>
      </c>
      <c r="F40" s="32" t="s">
        <v>552</v>
      </c>
      <c r="G40" s="32" t="s">
        <v>554</v>
      </c>
      <c r="H40" s="34">
        <f t="shared" si="16"/>
        <v>46331</v>
      </c>
    </row>
    <row r="41" spans="1:8" x14ac:dyDescent="0.4">
      <c r="A41" s="30" t="s">
        <v>789</v>
      </c>
      <c r="B41" s="31">
        <v>46319</v>
      </c>
      <c r="C41" s="32" t="s">
        <v>786</v>
      </c>
      <c r="D41" s="33">
        <v>-50000000</v>
      </c>
      <c r="E41" s="32" t="s">
        <v>220</v>
      </c>
      <c r="F41" s="32" t="s">
        <v>787</v>
      </c>
      <c r="G41" s="32" t="s">
        <v>554</v>
      </c>
      <c r="H41" s="34">
        <f t="shared" si="16"/>
        <v>46319</v>
      </c>
    </row>
    <row r="42" spans="1:8" x14ac:dyDescent="0.4">
      <c r="A42" s="30" t="s">
        <v>790</v>
      </c>
      <c r="B42" s="31">
        <v>46324</v>
      </c>
      <c r="C42" s="32" t="s">
        <v>781</v>
      </c>
      <c r="D42" s="33">
        <v>90000000</v>
      </c>
      <c r="E42" s="32" t="s">
        <v>220</v>
      </c>
      <c r="F42" s="32" t="s">
        <v>782</v>
      </c>
      <c r="G42" s="32" t="s">
        <v>554</v>
      </c>
      <c r="H42" s="34">
        <f t="shared" si="16"/>
        <v>46324</v>
      </c>
    </row>
    <row r="43" spans="1:8" x14ac:dyDescent="0.4">
      <c r="A43" s="30" t="s">
        <v>791</v>
      </c>
      <c r="B43" s="31">
        <v>46323</v>
      </c>
      <c r="C43" s="32" t="s">
        <v>784</v>
      </c>
      <c r="D43" s="33">
        <v>-30000000</v>
      </c>
      <c r="E43" s="32" t="s">
        <v>220</v>
      </c>
      <c r="F43" s="32" t="s">
        <v>552</v>
      </c>
      <c r="G43" s="32" t="s">
        <v>554</v>
      </c>
      <c r="H43" s="34">
        <f t="shared" si="16"/>
        <v>46323</v>
      </c>
    </row>
    <row r="44" spans="1:8" x14ac:dyDescent="0.4">
      <c r="A44" s="30" t="s">
        <v>792</v>
      </c>
      <c r="B44" s="31">
        <v>46325</v>
      </c>
      <c r="C44" s="32" t="s">
        <v>786</v>
      </c>
      <c r="D44" s="33">
        <v>-30000000</v>
      </c>
      <c r="E44" s="32" t="s">
        <v>220</v>
      </c>
      <c r="F44" s="32" t="s">
        <v>787</v>
      </c>
      <c r="G44" s="32" t="s">
        <v>554</v>
      </c>
      <c r="H44" s="34">
        <f t="shared" si="16"/>
        <v>46325</v>
      </c>
    </row>
    <row r="45" spans="1:8" x14ac:dyDescent="0.4">
      <c r="A45" s="30" t="s">
        <v>793</v>
      </c>
      <c r="B45" s="31">
        <v>46331</v>
      </c>
      <c r="C45" s="32" t="s">
        <v>781</v>
      </c>
      <c r="D45" s="33">
        <v>110000000</v>
      </c>
      <c r="E45" s="32" t="s">
        <v>220</v>
      </c>
      <c r="F45" s="32" t="s">
        <v>782</v>
      </c>
      <c r="G45" s="32" t="s">
        <v>554</v>
      </c>
      <c r="H45" s="34">
        <f t="shared" si="16"/>
        <v>46331</v>
      </c>
    </row>
    <row r="46" spans="1:8" x14ac:dyDescent="0.4">
      <c r="A46" s="30" t="s">
        <v>794</v>
      </c>
      <c r="B46" s="31">
        <v>46330</v>
      </c>
      <c r="C46" s="32" t="s">
        <v>784</v>
      </c>
      <c r="D46" s="33">
        <v>-60000000</v>
      </c>
      <c r="E46" s="32" t="s">
        <v>220</v>
      </c>
      <c r="F46" s="32" t="s">
        <v>552</v>
      </c>
      <c r="G46" s="32" t="s">
        <v>554</v>
      </c>
      <c r="H46" s="34">
        <f t="shared" si="16"/>
        <v>46330</v>
      </c>
    </row>
    <row r="47" spans="1:8" x14ac:dyDescent="0.4">
      <c r="A47" s="30" t="s">
        <v>795</v>
      </c>
      <c r="B47" s="31">
        <v>46332</v>
      </c>
      <c r="C47" s="32" t="s">
        <v>786</v>
      </c>
      <c r="D47" s="33">
        <v>-70000000</v>
      </c>
      <c r="E47" s="32" t="s">
        <v>220</v>
      </c>
      <c r="F47" s="32" t="s">
        <v>787</v>
      </c>
      <c r="G47" s="32" t="s">
        <v>554</v>
      </c>
      <c r="H47" s="34">
        <f t="shared" si="16"/>
        <v>46332</v>
      </c>
    </row>
    <row r="48" spans="1:8" x14ac:dyDescent="0.4">
      <c r="A48" s="30" t="s">
        <v>796</v>
      </c>
      <c r="B48" s="31">
        <v>46338</v>
      </c>
      <c r="C48" s="32" t="s">
        <v>781</v>
      </c>
      <c r="D48" s="33">
        <v>120000000</v>
      </c>
      <c r="E48" s="32" t="s">
        <v>220</v>
      </c>
      <c r="F48" s="32" t="s">
        <v>782</v>
      </c>
      <c r="G48" s="32" t="s">
        <v>554</v>
      </c>
      <c r="H48" s="34">
        <f t="shared" si="16"/>
        <v>46338</v>
      </c>
    </row>
    <row r="49" spans="1:8" x14ac:dyDescent="0.4">
      <c r="A49" s="30" t="s">
        <v>797</v>
      </c>
      <c r="B49" s="31">
        <v>46337</v>
      </c>
      <c r="C49" s="32" t="s">
        <v>784</v>
      </c>
      <c r="D49" s="33">
        <v>-50000000</v>
      </c>
      <c r="E49" s="32" t="s">
        <v>220</v>
      </c>
      <c r="F49" s="32" t="s">
        <v>552</v>
      </c>
      <c r="G49" s="32" t="s">
        <v>554</v>
      </c>
      <c r="H49" s="34">
        <f t="shared" si="16"/>
        <v>46337</v>
      </c>
    </row>
    <row r="50" spans="1:8" x14ac:dyDescent="0.4">
      <c r="A50" s="30" t="s">
        <v>798</v>
      </c>
      <c r="B50" s="31">
        <v>46339</v>
      </c>
      <c r="C50" s="32" t="s">
        <v>786</v>
      </c>
      <c r="D50" s="33">
        <v>-40000000</v>
      </c>
      <c r="E50" s="32" t="s">
        <v>220</v>
      </c>
      <c r="F50" s="32" t="s">
        <v>787</v>
      </c>
      <c r="G50" s="32" t="s">
        <v>554</v>
      </c>
      <c r="H50" s="34">
        <f t="shared" si="16"/>
        <v>46339</v>
      </c>
    </row>
    <row r="51" spans="1:8" x14ac:dyDescent="0.4">
      <c r="A51" s="30" t="s">
        <v>799</v>
      </c>
      <c r="B51" s="31">
        <v>46345</v>
      </c>
      <c r="C51" s="32" t="s">
        <v>781</v>
      </c>
      <c r="D51" s="33">
        <v>130000000</v>
      </c>
      <c r="E51" s="32" t="s">
        <v>220</v>
      </c>
      <c r="F51" s="32" t="s">
        <v>782</v>
      </c>
      <c r="G51" s="32" t="s">
        <v>554</v>
      </c>
      <c r="H51" s="34">
        <f t="shared" si="16"/>
        <v>46345</v>
      </c>
    </row>
    <row r="52" spans="1:8" x14ac:dyDescent="0.4">
      <c r="A52" s="30" t="s">
        <v>800</v>
      </c>
      <c r="B52" s="31">
        <v>46344</v>
      </c>
      <c r="C52" s="32" t="s">
        <v>784</v>
      </c>
      <c r="D52" s="33">
        <v>-60000000</v>
      </c>
      <c r="E52" s="32" t="s">
        <v>220</v>
      </c>
      <c r="F52" s="32" t="s">
        <v>552</v>
      </c>
      <c r="G52" s="32" t="s">
        <v>554</v>
      </c>
      <c r="H52" s="34">
        <f t="shared" si="16"/>
        <v>46344</v>
      </c>
    </row>
    <row r="53" spans="1:8" x14ac:dyDescent="0.4">
      <c r="A53" s="30" t="s">
        <v>801</v>
      </c>
      <c r="B53" s="31">
        <v>46346</v>
      </c>
      <c r="C53" s="32" t="s">
        <v>786</v>
      </c>
      <c r="D53" s="33">
        <v>-40000000</v>
      </c>
      <c r="E53" s="32" t="s">
        <v>220</v>
      </c>
      <c r="F53" s="32" t="s">
        <v>787</v>
      </c>
      <c r="G53" s="32" t="s">
        <v>554</v>
      </c>
      <c r="H53" s="34">
        <f t="shared" si="16"/>
        <v>46346</v>
      </c>
    </row>
    <row r="54" spans="1:8" x14ac:dyDescent="0.4">
      <c r="A54" s="30" t="s">
        <v>802</v>
      </c>
      <c r="B54" s="31">
        <v>46352</v>
      </c>
      <c r="C54" s="32" t="s">
        <v>781</v>
      </c>
      <c r="D54" s="33">
        <v>100000000</v>
      </c>
      <c r="E54" s="32" t="s">
        <v>220</v>
      </c>
      <c r="F54" s="32" t="s">
        <v>782</v>
      </c>
      <c r="G54" s="32" t="s">
        <v>554</v>
      </c>
      <c r="H54" s="34">
        <f t="shared" si="16"/>
        <v>46352</v>
      </c>
    </row>
    <row r="55" spans="1:8" x14ac:dyDescent="0.4">
      <c r="A55" s="30" t="s">
        <v>803</v>
      </c>
      <c r="B55" s="31">
        <v>46351</v>
      </c>
      <c r="C55" s="32" t="s">
        <v>784</v>
      </c>
      <c r="D55" s="33">
        <v>-70000000</v>
      </c>
      <c r="E55" s="32" t="s">
        <v>220</v>
      </c>
      <c r="F55" s="32" t="s">
        <v>552</v>
      </c>
      <c r="G55" s="32" t="s">
        <v>554</v>
      </c>
      <c r="H55" s="34">
        <f t="shared" si="16"/>
        <v>46351</v>
      </c>
    </row>
    <row r="56" spans="1:8" x14ac:dyDescent="0.4">
      <c r="A56" s="30" t="s">
        <v>804</v>
      </c>
      <c r="B56" s="31">
        <v>46353</v>
      </c>
      <c r="C56" s="32" t="s">
        <v>786</v>
      </c>
      <c r="D56" s="33">
        <v>-40000000</v>
      </c>
      <c r="E56" s="32" t="s">
        <v>220</v>
      </c>
      <c r="F56" s="32" t="s">
        <v>787</v>
      </c>
      <c r="G56" s="32" t="s">
        <v>554</v>
      </c>
      <c r="H56" s="34">
        <f t="shared" si="16"/>
        <v>46353</v>
      </c>
    </row>
    <row r="57" spans="1:8" x14ac:dyDescent="0.4">
      <c r="A57" s="30" t="s">
        <v>805</v>
      </c>
      <c r="B57" s="31">
        <v>46359</v>
      </c>
      <c r="C57" s="32" t="s">
        <v>781</v>
      </c>
      <c r="D57" s="33">
        <v>140000000</v>
      </c>
      <c r="E57" s="32" t="s">
        <v>220</v>
      </c>
      <c r="F57" s="32" t="s">
        <v>782</v>
      </c>
      <c r="G57" s="32" t="s">
        <v>554</v>
      </c>
      <c r="H57" s="34">
        <f t="shared" si="16"/>
        <v>46359</v>
      </c>
    </row>
    <row r="58" spans="1:8" x14ac:dyDescent="0.4">
      <c r="A58" s="30" t="s">
        <v>806</v>
      </c>
      <c r="B58" s="31">
        <v>46358</v>
      </c>
      <c r="C58" s="32" t="s">
        <v>784</v>
      </c>
      <c r="D58" s="33">
        <v>-50000000</v>
      </c>
      <c r="E58" s="32" t="s">
        <v>220</v>
      </c>
      <c r="F58" s="32" t="s">
        <v>552</v>
      </c>
      <c r="G58" s="32" t="s">
        <v>554</v>
      </c>
      <c r="H58" s="34">
        <f t="shared" si="16"/>
        <v>46358</v>
      </c>
    </row>
    <row r="59" spans="1:8" x14ac:dyDescent="0.4">
      <c r="A59" s="30" t="s">
        <v>807</v>
      </c>
      <c r="B59" s="31">
        <v>46360</v>
      </c>
      <c r="C59" s="32" t="s">
        <v>786</v>
      </c>
      <c r="D59" s="33">
        <v>-40000000</v>
      </c>
      <c r="E59" s="32" t="s">
        <v>220</v>
      </c>
      <c r="F59" s="32" t="s">
        <v>787</v>
      </c>
      <c r="G59" s="32" t="s">
        <v>554</v>
      </c>
      <c r="H59" s="34">
        <f t="shared" si="16"/>
        <v>46360</v>
      </c>
    </row>
    <row r="60" spans="1:8" x14ac:dyDescent="0.4">
      <c r="A60" s="30" t="s">
        <v>808</v>
      </c>
      <c r="B60" s="31">
        <v>46366</v>
      </c>
      <c r="C60" s="32" t="s">
        <v>781</v>
      </c>
      <c r="D60" s="33">
        <v>150000000</v>
      </c>
      <c r="E60" s="32" t="s">
        <v>220</v>
      </c>
      <c r="F60" s="32" t="s">
        <v>782</v>
      </c>
      <c r="G60" s="32" t="s">
        <v>554</v>
      </c>
      <c r="H60" s="34">
        <f t="shared" si="16"/>
        <v>46366</v>
      </c>
    </row>
    <row r="61" spans="1:8" x14ac:dyDescent="0.4">
      <c r="A61" s="30" t="s">
        <v>809</v>
      </c>
      <c r="B61" s="31">
        <v>46365</v>
      </c>
      <c r="C61" s="32" t="s">
        <v>784</v>
      </c>
      <c r="D61" s="33">
        <v>-80000000</v>
      </c>
      <c r="E61" s="32" t="s">
        <v>220</v>
      </c>
      <c r="F61" s="32" t="s">
        <v>552</v>
      </c>
      <c r="G61" s="32" t="s">
        <v>554</v>
      </c>
      <c r="H61" s="34">
        <f t="shared" si="16"/>
        <v>46365</v>
      </c>
    </row>
    <row r="62" spans="1:8" x14ac:dyDescent="0.4">
      <c r="A62" s="30" t="s">
        <v>810</v>
      </c>
      <c r="B62" s="31">
        <v>46367</v>
      </c>
      <c r="C62" s="32" t="s">
        <v>786</v>
      </c>
      <c r="D62" s="33">
        <v>-40000000</v>
      </c>
      <c r="E62" s="32" t="s">
        <v>220</v>
      </c>
      <c r="F62" s="32" t="s">
        <v>787</v>
      </c>
      <c r="G62" s="32" t="s">
        <v>554</v>
      </c>
      <c r="H62" s="34">
        <f t="shared" si="16"/>
        <v>46367</v>
      </c>
    </row>
    <row r="63" spans="1:8" x14ac:dyDescent="0.4">
      <c r="A63" s="30" t="s">
        <v>811</v>
      </c>
      <c r="B63" s="31">
        <v>46373</v>
      </c>
      <c r="C63" s="32" t="s">
        <v>781</v>
      </c>
      <c r="D63" s="33">
        <v>120000000</v>
      </c>
      <c r="E63" s="32" t="s">
        <v>220</v>
      </c>
      <c r="F63" s="32" t="s">
        <v>782</v>
      </c>
      <c r="G63" s="32" t="s">
        <v>554</v>
      </c>
      <c r="H63" s="34">
        <f t="shared" si="16"/>
        <v>46373</v>
      </c>
    </row>
    <row r="64" spans="1:8" x14ac:dyDescent="0.4">
      <c r="A64" s="30" t="s">
        <v>812</v>
      </c>
      <c r="B64" s="31">
        <v>46372</v>
      </c>
      <c r="C64" s="32" t="s">
        <v>784</v>
      </c>
      <c r="D64" s="33">
        <v>-60000000</v>
      </c>
      <c r="E64" s="32" t="s">
        <v>220</v>
      </c>
      <c r="F64" s="32" t="s">
        <v>552</v>
      </c>
      <c r="G64" s="32" t="s">
        <v>554</v>
      </c>
      <c r="H64" s="34">
        <f t="shared" si="16"/>
        <v>46372</v>
      </c>
    </row>
    <row r="65" spans="1:8" x14ac:dyDescent="0.4">
      <c r="A65" s="30" t="s">
        <v>813</v>
      </c>
      <c r="B65" s="31">
        <v>46374</v>
      </c>
      <c r="C65" s="32" t="s">
        <v>786</v>
      </c>
      <c r="D65" s="33">
        <v>-40000000</v>
      </c>
      <c r="E65" s="32" t="s">
        <v>220</v>
      </c>
      <c r="F65" s="32" t="s">
        <v>787</v>
      </c>
      <c r="G65" s="32" t="s">
        <v>554</v>
      </c>
      <c r="H65" s="34">
        <f t="shared" si="16"/>
        <v>46374</v>
      </c>
    </row>
    <row r="66" spans="1:8" x14ac:dyDescent="0.4">
      <c r="A66" s="30" t="s">
        <v>814</v>
      </c>
      <c r="B66" s="31">
        <v>46380</v>
      </c>
      <c r="C66" s="32" t="s">
        <v>781</v>
      </c>
      <c r="D66" s="33">
        <v>130000000</v>
      </c>
      <c r="E66" s="32" t="s">
        <v>220</v>
      </c>
      <c r="F66" s="32" t="s">
        <v>782</v>
      </c>
      <c r="G66" s="32" t="s">
        <v>554</v>
      </c>
      <c r="H66" s="34">
        <f t="shared" si="16"/>
        <v>46380</v>
      </c>
    </row>
    <row r="67" spans="1:8" x14ac:dyDescent="0.4">
      <c r="A67" s="30" t="s">
        <v>815</v>
      </c>
      <c r="B67" s="31">
        <v>46379</v>
      </c>
      <c r="C67" s="32" t="s">
        <v>784</v>
      </c>
      <c r="D67" s="33">
        <v>-100000000</v>
      </c>
      <c r="E67" s="32" t="s">
        <v>220</v>
      </c>
      <c r="F67" s="32" t="s">
        <v>552</v>
      </c>
      <c r="G67" s="32" t="s">
        <v>554</v>
      </c>
      <c r="H67" s="34">
        <f t="shared" si="16"/>
        <v>46379</v>
      </c>
    </row>
    <row r="68" spans="1:8" x14ac:dyDescent="0.4">
      <c r="A68" s="30" t="s">
        <v>816</v>
      </c>
      <c r="B68" s="31">
        <v>46381</v>
      </c>
      <c r="C68" s="32" t="s">
        <v>786</v>
      </c>
      <c r="D68" s="33">
        <v>-40000000</v>
      </c>
      <c r="E68" s="32" t="s">
        <v>220</v>
      </c>
      <c r="F68" s="32" t="s">
        <v>787</v>
      </c>
      <c r="G68" s="32" t="s">
        <v>554</v>
      </c>
      <c r="H68" s="34">
        <f t="shared" si="16"/>
        <v>46381</v>
      </c>
    </row>
    <row r="69" spans="1:8" x14ac:dyDescent="0.4">
      <c r="A69" s="30" t="s">
        <v>817</v>
      </c>
      <c r="B69" s="31">
        <v>46387</v>
      </c>
      <c r="C69" s="32" t="s">
        <v>781</v>
      </c>
      <c r="D69" s="33">
        <v>160000000</v>
      </c>
      <c r="E69" s="32" t="s">
        <v>220</v>
      </c>
      <c r="F69" s="32" t="s">
        <v>782</v>
      </c>
      <c r="G69" s="32" t="s">
        <v>554</v>
      </c>
      <c r="H69" s="34">
        <f t="shared" si="16"/>
        <v>46387</v>
      </c>
    </row>
    <row r="70" spans="1:8" x14ac:dyDescent="0.4">
      <c r="A70" s="30" t="s">
        <v>818</v>
      </c>
      <c r="B70" s="31">
        <v>46386</v>
      </c>
      <c r="C70" s="32" t="s">
        <v>784</v>
      </c>
      <c r="D70" s="33">
        <v>-70000000</v>
      </c>
      <c r="E70" s="32" t="s">
        <v>220</v>
      </c>
      <c r="F70" s="32" t="s">
        <v>552</v>
      </c>
      <c r="G70" s="32" t="s">
        <v>554</v>
      </c>
      <c r="H70" s="34">
        <f t="shared" si="16"/>
        <v>46386</v>
      </c>
    </row>
    <row r="71" spans="1:8" x14ac:dyDescent="0.4">
      <c r="A71" s="30" t="s">
        <v>819</v>
      </c>
      <c r="B71" s="31">
        <v>46388</v>
      </c>
      <c r="C71" s="32" t="s">
        <v>786</v>
      </c>
      <c r="D71" s="33">
        <v>-40000000</v>
      </c>
      <c r="E71" s="32" t="s">
        <v>220</v>
      </c>
      <c r="F71" s="32" t="s">
        <v>787</v>
      </c>
      <c r="G71" s="32" t="s">
        <v>554</v>
      </c>
      <c r="H71" s="34">
        <f t="shared" si="16"/>
        <v>46388</v>
      </c>
    </row>
    <row r="72" spans="1:8" x14ac:dyDescent="0.4">
      <c r="A72" s="30" t="s">
        <v>820</v>
      </c>
      <c r="B72" s="31">
        <v>46394</v>
      </c>
      <c r="C72" s="32" t="s">
        <v>781</v>
      </c>
      <c r="D72" s="33">
        <v>140000000</v>
      </c>
      <c r="E72" s="32" t="s">
        <v>220</v>
      </c>
      <c r="F72" s="32" t="s">
        <v>782</v>
      </c>
      <c r="G72" s="32" t="s">
        <v>554</v>
      </c>
      <c r="H72" s="34">
        <f t="shared" si="16"/>
        <v>46394</v>
      </c>
    </row>
    <row r="73" spans="1:8" x14ac:dyDescent="0.4">
      <c r="A73" s="30" t="s">
        <v>821</v>
      </c>
      <c r="B73" s="31">
        <v>46393</v>
      </c>
      <c r="C73" s="32" t="s">
        <v>784</v>
      </c>
      <c r="D73" s="33">
        <v>-80000000</v>
      </c>
      <c r="E73" s="32" t="s">
        <v>220</v>
      </c>
      <c r="F73" s="32" t="s">
        <v>552</v>
      </c>
      <c r="G73" s="32" t="s">
        <v>554</v>
      </c>
      <c r="H73" s="34">
        <f t="shared" si="16"/>
        <v>46393</v>
      </c>
    </row>
    <row r="74" spans="1:8" x14ac:dyDescent="0.4">
      <c r="A74" s="30" t="s">
        <v>822</v>
      </c>
      <c r="B74" s="31">
        <v>46395</v>
      </c>
      <c r="C74" s="32" t="s">
        <v>786</v>
      </c>
      <c r="D74" s="33">
        <v>-40000000</v>
      </c>
      <c r="E74" s="32" t="s">
        <v>220</v>
      </c>
      <c r="F74" s="32" t="s">
        <v>787</v>
      </c>
      <c r="G74" s="32" t="s">
        <v>554</v>
      </c>
      <c r="H74" s="34">
        <f t="shared" si="16"/>
        <v>46395</v>
      </c>
    </row>
    <row r="76" spans="1:8" x14ac:dyDescent="0.4">
      <c r="A76" s="9" t="s">
        <v>823</v>
      </c>
    </row>
    <row r="77" spans="1:8" x14ac:dyDescent="0.4">
      <c r="A77" s="9" t="s">
        <v>824</v>
      </c>
    </row>
  </sheetData>
  <conditionalFormatting sqref="H12:H24">
    <cfRule type="cellIs" dxfId="6" priority="2" operator="equal">
      <formula>"DƯỚI NGƯỠNG"</formula>
    </cfRule>
    <cfRule type="cellIs" dxfId="5" priority="3" operator="equal">
      <formula>"TIỀN ÂM"</formula>
    </cfRule>
  </conditionalFormatting>
  <conditionalFormatting sqref="O12:O24">
    <cfRule type="cellIs" dxfId="4" priority="4" operator="equal">
      <formula>"DƯỚI NGƯỠNG"</formula>
    </cfRule>
    <cfRule type="cellIs" dxfId="3" priority="5" operator="equal">
      <formula>"TIỀN ÂM"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G18"/>
  <sheetViews>
    <sheetView topLeftCell="D1" zoomScaleNormal="100" workbookViewId="0">
      <selection activeCell="D20" sqref="D20"/>
    </sheetView>
  </sheetViews>
  <sheetFormatPr defaultColWidth="8.6640625" defaultRowHeight="17.399999999999999" x14ac:dyDescent="0.4"/>
  <cols>
    <col min="1" max="1" width="6" style="2" customWidth="1"/>
    <col min="2" max="2" width="24" style="2" customWidth="1"/>
    <col min="3" max="3" width="42" style="2" customWidth="1"/>
    <col min="4" max="4" width="38" style="2" customWidth="1"/>
    <col min="5" max="5" width="50" style="2" customWidth="1"/>
    <col min="6" max="6" width="42" style="2" customWidth="1"/>
    <col min="7" max="7" width="34" style="2" customWidth="1"/>
    <col min="8" max="16384" width="8.6640625" style="2"/>
  </cols>
  <sheetData>
    <row r="1" spans="1:7" x14ac:dyDescent="0.4">
      <c r="A1" s="24" t="s">
        <v>825</v>
      </c>
    </row>
    <row r="2" spans="1:7" x14ac:dyDescent="0.4">
      <c r="A2" s="35" t="s">
        <v>826</v>
      </c>
    </row>
    <row r="4" spans="1:7" x14ac:dyDescent="0.4">
      <c r="A4" s="36" t="s">
        <v>65</v>
      </c>
      <c r="B4" s="36" t="s">
        <v>37</v>
      </c>
      <c r="C4" s="36" t="s">
        <v>827</v>
      </c>
      <c r="D4" s="36" t="s">
        <v>828</v>
      </c>
      <c r="E4" s="36" t="s">
        <v>829</v>
      </c>
      <c r="F4" s="36" t="s">
        <v>830</v>
      </c>
      <c r="G4" s="36" t="s">
        <v>831</v>
      </c>
    </row>
    <row r="5" spans="1:7" ht="69.599999999999994" x14ac:dyDescent="0.4">
      <c r="A5" s="37" t="s">
        <v>832</v>
      </c>
      <c r="B5" s="38" t="s">
        <v>833</v>
      </c>
      <c r="C5" s="38" t="s">
        <v>834</v>
      </c>
      <c r="D5" s="38" t="s">
        <v>835</v>
      </c>
      <c r="E5" s="38" t="s">
        <v>836</v>
      </c>
      <c r="F5" s="38" t="s">
        <v>837</v>
      </c>
      <c r="G5" s="38" t="s">
        <v>838</v>
      </c>
    </row>
    <row r="6" spans="1:7" ht="52.2" x14ac:dyDescent="0.4">
      <c r="A6" s="37" t="s">
        <v>839</v>
      </c>
      <c r="B6" s="38" t="s">
        <v>840</v>
      </c>
      <c r="C6" s="38" t="s">
        <v>841</v>
      </c>
      <c r="D6" s="38" t="s">
        <v>842</v>
      </c>
      <c r="E6" s="38" t="s">
        <v>843</v>
      </c>
      <c r="F6" s="38" t="s">
        <v>844</v>
      </c>
      <c r="G6" s="38" t="s">
        <v>845</v>
      </c>
    </row>
    <row r="7" spans="1:7" ht="52.2" x14ac:dyDescent="0.4">
      <c r="A7" s="37" t="s">
        <v>846</v>
      </c>
      <c r="B7" s="38" t="s">
        <v>847</v>
      </c>
      <c r="C7" s="38" t="s">
        <v>848</v>
      </c>
      <c r="D7" s="38" t="s">
        <v>849</v>
      </c>
      <c r="E7" s="38" t="s">
        <v>850</v>
      </c>
      <c r="F7" s="38" t="s">
        <v>851</v>
      </c>
      <c r="G7" s="38" t="s">
        <v>852</v>
      </c>
    </row>
    <row r="9" spans="1:7" x14ac:dyDescent="0.4">
      <c r="A9" s="10" t="s">
        <v>853</v>
      </c>
      <c r="B9" s="11"/>
      <c r="C9" s="11"/>
      <c r="D9" s="11"/>
      <c r="E9" s="11"/>
      <c r="F9" s="11"/>
      <c r="G9" s="11"/>
    </row>
    <row r="10" spans="1:7" x14ac:dyDescent="0.4">
      <c r="A10" s="36" t="s">
        <v>65</v>
      </c>
      <c r="B10" s="36" t="s">
        <v>771</v>
      </c>
      <c r="C10" s="36" t="s">
        <v>854</v>
      </c>
      <c r="D10" s="36"/>
      <c r="E10" s="36"/>
      <c r="F10" s="36"/>
      <c r="G10" s="36"/>
    </row>
    <row r="11" spans="1:7" ht="34.799999999999997" x14ac:dyDescent="0.4">
      <c r="A11" s="37" t="s">
        <v>855</v>
      </c>
      <c r="B11" s="38" t="s">
        <v>773</v>
      </c>
      <c r="C11" s="38" t="s">
        <v>856</v>
      </c>
      <c r="D11" s="38"/>
      <c r="E11" s="38"/>
      <c r="F11" s="38"/>
      <c r="G11" s="38"/>
    </row>
    <row r="12" spans="1:7" x14ac:dyDescent="0.4">
      <c r="A12" s="37" t="s">
        <v>857</v>
      </c>
      <c r="B12" s="38" t="s">
        <v>774</v>
      </c>
      <c r="C12" s="38" t="s">
        <v>858</v>
      </c>
      <c r="D12" s="38"/>
      <c r="E12" s="38"/>
      <c r="F12" s="38"/>
      <c r="G12" s="38"/>
    </row>
    <row r="13" spans="1:7" x14ac:dyDescent="0.4">
      <c r="A13" s="37" t="s">
        <v>859</v>
      </c>
      <c r="B13" s="38" t="s">
        <v>860</v>
      </c>
      <c r="C13" s="38" t="s">
        <v>861</v>
      </c>
      <c r="D13" s="38"/>
      <c r="E13" s="38"/>
      <c r="F13" s="38"/>
      <c r="G13" s="38"/>
    </row>
    <row r="14" spans="1:7" x14ac:dyDescent="0.4">
      <c r="A14" s="37" t="s">
        <v>862</v>
      </c>
      <c r="B14" s="38" t="s">
        <v>775</v>
      </c>
      <c r="C14" s="38" t="s">
        <v>863</v>
      </c>
      <c r="D14" s="38"/>
      <c r="E14" s="38"/>
      <c r="F14" s="38"/>
      <c r="G14" s="38"/>
    </row>
    <row r="15" spans="1:7" ht="34.799999999999997" x14ac:dyDescent="0.4">
      <c r="A15" s="37" t="s">
        <v>864</v>
      </c>
      <c r="B15" s="38" t="s">
        <v>865</v>
      </c>
      <c r="C15" s="38" t="s">
        <v>866</v>
      </c>
      <c r="D15" s="38"/>
      <c r="E15" s="38"/>
      <c r="F15" s="38"/>
      <c r="G15" s="38"/>
    </row>
    <row r="16" spans="1:7" ht="34.799999999999997" x14ac:dyDescent="0.4">
      <c r="A16" s="37" t="s">
        <v>867</v>
      </c>
      <c r="B16" s="38" t="s">
        <v>868</v>
      </c>
      <c r="C16" s="38" t="s">
        <v>869</v>
      </c>
      <c r="D16" s="38"/>
      <c r="E16" s="38"/>
      <c r="F16" s="38"/>
      <c r="G16" s="38"/>
    </row>
    <row r="18" spans="1:1" x14ac:dyDescent="0.4">
      <c r="A18" s="35" t="s">
        <v>870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G24"/>
  <sheetViews>
    <sheetView topLeftCell="D1" zoomScaleNormal="100" workbookViewId="0">
      <selection activeCell="K7" sqref="K7"/>
    </sheetView>
  </sheetViews>
  <sheetFormatPr defaultColWidth="8.6640625" defaultRowHeight="17.399999999999999" x14ac:dyDescent="0.4"/>
  <cols>
    <col min="1" max="1" width="7" style="2" customWidth="1"/>
    <col min="2" max="2" width="26" style="2" customWidth="1"/>
    <col min="3" max="4" width="38" style="2" customWidth="1"/>
    <col min="5" max="5" width="56" style="2" customWidth="1"/>
    <col min="6" max="6" width="50" style="2" customWidth="1"/>
    <col min="7" max="7" width="10" style="2" customWidth="1"/>
    <col min="8" max="16384" width="8.6640625" style="2"/>
  </cols>
  <sheetData>
    <row r="1" spans="1:7" ht="22.2" x14ac:dyDescent="0.5">
      <c r="A1" s="1" t="s">
        <v>871</v>
      </c>
    </row>
    <row r="2" spans="1:7" x14ac:dyDescent="0.4">
      <c r="A2" s="3" t="s">
        <v>872</v>
      </c>
    </row>
    <row r="4" spans="1:7" x14ac:dyDescent="0.4">
      <c r="A4" s="4" t="s">
        <v>65</v>
      </c>
      <c r="B4" s="4" t="s">
        <v>873</v>
      </c>
      <c r="C4" s="4" t="s">
        <v>874</v>
      </c>
      <c r="D4" s="4" t="s">
        <v>875</v>
      </c>
      <c r="E4" s="4" t="s">
        <v>876</v>
      </c>
      <c r="F4" s="4" t="s">
        <v>877</v>
      </c>
      <c r="G4" s="4" t="s">
        <v>68</v>
      </c>
    </row>
    <row r="5" spans="1:7" x14ac:dyDescent="0.4">
      <c r="A5" s="5" t="s">
        <v>878</v>
      </c>
      <c r="B5" s="6" t="s">
        <v>879</v>
      </c>
      <c r="C5" s="6" t="s">
        <v>880</v>
      </c>
      <c r="D5" s="6" t="s">
        <v>881</v>
      </c>
      <c r="E5" s="6" t="s">
        <v>882</v>
      </c>
      <c r="F5" s="6" t="s">
        <v>883</v>
      </c>
      <c r="G5" s="5" t="s">
        <v>77</v>
      </c>
    </row>
    <row r="6" spans="1:7" ht="33.6" x14ac:dyDescent="0.4">
      <c r="A6" s="5" t="s">
        <v>884</v>
      </c>
      <c r="B6" s="6" t="s">
        <v>885</v>
      </c>
      <c r="C6" s="6" t="s">
        <v>886</v>
      </c>
      <c r="D6" s="6" t="s">
        <v>887</v>
      </c>
      <c r="E6" s="6" t="s">
        <v>888</v>
      </c>
      <c r="F6" s="6" t="s">
        <v>889</v>
      </c>
      <c r="G6" s="5" t="s">
        <v>77</v>
      </c>
    </row>
    <row r="7" spans="1:7" x14ac:dyDescent="0.4">
      <c r="A7" s="5" t="s">
        <v>890</v>
      </c>
      <c r="B7" s="6" t="s">
        <v>93</v>
      </c>
      <c r="C7" s="6" t="s">
        <v>891</v>
      </c>
      <c r="D7" s="6" t="s">
        <v>892</v>
      </c>
      <c r="E7" s="6" t="s">
        <v>893</v>
      </c>
      <c r="F7" s="6" t="s">
        <v>894</v>
      </c>
      <c r="G7" s="5" t="s">
        <v>77</v>
      </c>
    </row>
    <row r="8" spans="1:7" ht="33.6" x14ac:dyDescent="0.4">
      <c r="A8" s="5" t="s">
        <v>895</v>
      </c>
      <c r="B8" s="6" t="s">
        <v>896</v>
      </c>
      <c r="C8" s="6" t="s">
        <v>897</v>
      </c>
      <c r="D8" s="6" t="s">
        <v>898</v>
      </c>
      <c r="E8" s="6" t="s">
        <v>899</v>
      </c>
      <c r="F8" s="6" t="s">
        <v>900</v>
      </c>
      <c r="G8" s="5" t="s">
        <v>77</v>
      </c>
    </row>
    <row r="9" spans="1:7" ht="33.6" x14ac:dyDescent="0.4">
      <c r="A9" s="5" t="s">
        <v>901</v>
      </c>
      <c r="B9" s="6" t="s">
        <v>902</v>
      </c>
      <c r="C9" s="6" t="s">
        <v>903</v>
      </c>
      <c r="D9" s="6" t="s">
        <v>904</v>
      </c>
      <c r="E9" s="6" t="s">
        <v>905</v>
      </c>
      <c r="F9" s="6" t="s">
        <v>906</v>
      </c>
      <c r="G9" s="5" t="s">
        <v>77</v>
      </c>
    </row>
    <row r="10" spans="1:7" ht="33.6" x14ac:dyDescent="0.4">
      <c r="A10" s="5" t="s">
        <v>907</v>
      </c>
      <c r="B10" s="6" t="s">
        <v>908</v>
      </c>
      <c r="C10" s="6" t="s">
        <v>909</v>
      </c>
      <c r="D10" s="6" t="s">
        <v>910</v>
      </c>
      <c r="E10" s="6" t="s">
        <v>911</v>
      </c>
      <c r="F10" s="6" t="s">
        <v>912</v>
      </c>
      <c r="G10" s="5" t="s">
        <v>77</v>
      </c>
    </row>
    <row r="11" spans="1:7" ht="33.6" x14ac:dyDescent="0.4">
      <c r="A11" s="5" t="s">
        <v>913</v>
      </c>
      <c r="B11" s="6" t="s">
        <v>914</v>
      </c>
      <c r="C11" s="6" t="s">
        <v>915</v>
      </c>
      <c r="D11" s="6" t="s">
        <v>916</v>
      </c>
      <c r="E11" s="6" t="s">
        <v>917</v>
      </c>
      <c r="F11" s="6" t="s">
        <v>918</v>
      </c>
      <c r="G11" s="5" t="s">
        <v>77</v>
      </c>
    </row>
    <row r="12" spans="1:7" x14ac:dyDescent="0.4">
      <c r="A12" s="5" t="s">
        <v>919</v>
      </c>
      <c r="B12" s="6" t="s">
        <v>920</v>
      </c>
      <c r="C12" s="6" t="s">
        <v>921</v>
      </c>
      <c r="D12" s="6" t="s">
        <v>922</v>
      </c>
      <c r="E12" s="6" t="s">
        <v>923</v>
      </c>
      <c r="F12" s="6" t="s">
        <v>924</v>
      </c>
      <c r="G12" s="5" t="s">
        <v>77</v>
      </c>
    </row>
    <row r="13" spans="1:7" x14ac:dyDescent="0.4">
      <c r="A13" s="5" t="s">
        <v>925</v>
      </c>
      <c r="B13" s="6" t="s">
        <v>926</v>
      </c>
      <c r="C13" s="6" t="s">
        <v>927</v>
      </c>
      <c r="D13" s="6" t="s">
        <v>928</v>
      </c>
      <c r="E13" s="6" t="s">
        <v>929</v>
      </c>
      <c r="F13" s="6" t="s">
        <v>930</v>
      </c>
      <c r="G13" s="5" t="s">
        <v>104</v>
      </c>
    </row>
    <row r="15" spans="1:7" x14ac:dyDescent="0.4">
      <c r="A15" s="10" t="s">
        <v>931</v>
      </c>
      <c r="B15" s="11"/>
      <c r="C15" s="11"/>
      <c r="D15" s="11"/>
      <c r="E15" s="11"/>
      <c r="F15" s="11"/>
      <c r="G15" s="11"/>
    </row>
    <row r="16" spans="1:7" x14ac:dyDescent="0.4">
      <c r="A16" s="4" t="s">
        <v>65</v>
      </c>
      <c r="B16" s="4" t="s">
        <v>932</v>
      </c>
      <c r="C16" s="4" t="s">
        <v>17</v>
      </c>
      <c r="D16" s="4" t="s">
        <v>73</v>
      </c>
      <c r="E16" s="4"/>
      <c r="F16" s="4"/>
      <c r="G16" s="4"/>
    </row>
    <row r="17" spans="1:7" ht="33.6" x14ac:dyDescent="0.4">
      <c r="A17" s="5" t="s">
        <v>933</v>
      </c>
      <c r="B17" s="6" t="s">
        <v>934</v>
      </c>
      <c r="C17" s="6" t="s">
        <v>935</v>
      </c>
      <c r="D17" s="6" t="s">
        <v>936</v>
      </c>
      <c r="E17" s="6"/>
      <c r="F17" s="6"/>
      <c r="G17" s="6"/>
    </row>
    <row r="18" spans="1:7" x14ac:dyDescent="0.4">
      <c r="A18" s="5" t="s">
        <v>937</v>
      </c>
      <c r="B18" s="6" t="s">
        <v>938</v>
      </c>
      <c r="C18" s="6" t="s">
        <v>939</v>
      </c>
      <c r="D18" s="6" t="s">
        <v>78</v>
      </c>
      <c r="E18" s="6"/>
      <c r="F18" s="6"/>
      <c r="G18" s="6"/>
    </row>
    <row r="19" spans="1:7" x14ac:dyDescent="0.4">
      <c r="A19" s="5" t="s">
        <v>940</v>
      </c>
      <c r="B19" s="6" t="s">
        <v>941</v>
      </c>
      <c r="C19" s="6" t="s">
        <v>942</v>
      </c>
      <c r="D19" s="6" t="s">
        <v>943</v>
      </c>
      <c r="E19" s="6"/>
      <c r="F19" s="6"/>
      <c r="G19" s="6"/>
    </row>
    <row r="20" spans="1:7" x14ac:dyDescent="0.4">
      <c r="A20" s="5" t="s">
        <v>944</v>
      </c>
      <c r="B20" s="6" t="s">
        <v>945</v>
      </c>
      <c r="C20" s="6" t="s">
        <v>946</v>
      </c>
      <c r="D20" s="6" t="s">
        <v>947</v>
      </c>
      <c r="E20" s="6"/>
      <c r="F20" s="6"/>
      <c r="G20" s="6"/>
    </row>
    <row r="21" spans="1:7" x14ac:dyDescent="0.4">
      <c r="A21" s="5" t="s">
        <v>948</v>
      </c>
      <c r="B21" s="6" t="s">
        <v>949</v>
      </c>
      <c r="C21" s="6" t="s">
        <v>950</v>
      </c>
      <c r="D21" s="6" t="s">
        <v>78</v>
      </c>
      <c r="E21" s="6"/>
      <c r="F21" s="6"/>
      <c r="G21" s="6"/>
    </row>
    <row r="22" spans="1:7" x14ac:dyDescent="0.4">
      <c r="A22" s="5" t="s">
        <v>951</v>
      </c>
      <c r="B22" s="6" t="s">
        <v>952</v>
      </c>
      <c r="C22" s="6" t="s">
        <v>953</v>
      </c>
      <c r="D22" s="6" t="s">
        <v>181</v>
      </c>
      <c r="E22" s="6"/>
      <c r="F22" s="6"/>
      <c r="G22" s="6"/>
    </row>
    <row r="23" spans="1:7" x14ac:dyDescent="0.4">
      <c r="A23" s="5" t="s">
        <v>954</v>
      </c>
      <c r="B23" s="6" t="s">
        <v>885</v>
      </c>
      <c r="C23" s="6" t="s">
        <v>955</v>
      </c>
      <c r="D23" s="6" t="s">
        <v>78</v>
      </c>
      <c r="E23" s="6"/>
      <c r="F23" s="6"/>
      <c r="G23" s="6"/>
    </row>
    <row r="24" spans="1:7" ht="33.6" x14ac:dyDescent="0.4">
      <c r="A24" s="5" t="s">
        <v>956</v>
      </c>
      <c r="B24" s="6" t="s">
        <v>957</v>
      </c>
      <c r="C24" s="6" t="s">
        <v>958</v>
      </c>
      <c r="D24" s="6" t="s">
        <v>146</v>
      </c>
      <c r="E24" s="6"/>
      <c r="F24" s="6"/>
      <c r="G24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F32"/>
  <sheetViews>
    <sheetView zoomScaleNormal="100" workbookViewId="0">
      <selection activeCell="B41" sqref="B41"/>
    </sheetView>
  </sheetViews>
  <sheetFormatPr defaultColWidth="8.6640625" defaultRowHeight="17.399999999999999" x14ac:dyDescent="0.4"/>
  <cols>
    <col min="1" max="1" width="18" style="2" customWidth="1"/>
    <col min="2" max="2" width="50" style="2" customWidth="1"/>
    <col min="3" max="3" width="36" style="2" customWidth="1"/>
    <col min="4" max="4" width="52" style="2" customWidth="1"/>
    <col min="5" max="5" width="36" style="2" customWidth="1"/>
    <col min="6" max="16384" width="8.6640625" style="2"/>
  </cols>
  <sheetData>
    <row r="1" spans="1:6" ht="22.2" x14ac:dyDescent="0.5">
      <c r="A1" s="1" t="s">
        <v>959</v>
      </c>
    </row>
    <row r="2" spans="1:6" x14ac:dyDescent="0.4">
      <c r="A2" s="3" t="s">
        <v>960</v>
      </c>
    </row>
    <row r="4" spans="1:6" x14ac:dyDescent="0.4">
      <c r="A4" s="10" t="s">
        <v>961</v>
      </c>
      <c r="B4" s="11"/>
      <c r="C4" s="11"/>
      <c r="D4" s="11"/>
      <c r="E4" s="11"/>
      <c r="F4" s="11"/>
    </row>
    <row r="5" spans="1:6" x14ac:dyDescent="0.4">
      <c r="A5" s="4" t="s">
        <v>962</v>
      </c>
      <c r="B5" s="4" t="s">
        <v>874</v>
      </c>
      <c r="C5" s="4" t="s">
        <v>963</v>
      </c>
      <c r="D5" s="4" t="s">
        <v>964</v>
      </c>
      <c r="E5" s="4" t="s">
        <v>73</v>
      </c>
    </row>
    <row r="6" spans="1:6" x14ac:dyDescent="0.4">
      <c r="A6" s="6" t="s">
        <v>965</v>
      </c>
      <c r="B6" s="6" t="s">
        <v>966</v>
      </c>
      <c r="C6" s="6" t="s">
        <v>967</v>
      </c>
      <c r="D6" s="6" t="s">
        <v>968</v>
      </c>
      <c r="E6" s="6" t="s">
        <v>969</v>
      </c>
    </row>
    <row r="7" spans="1:6" x14ac:dyDescent="0.4">
      <c r="A7" s="6" t="s">
        <v>970</v>
      </c>
      <c r="B7" s="6" t="s">
        <v>971</v>
      </c>
      <c r="C7" s="6" t="s">
        <v>216</v>
      </c>
      <c r="D7" s="6" t="s">
        <v>972</v>
      </c>
      <c r="E7" s="6" t="s">
        <v>78</v>
      </c>
    </row>
    <row r="8" spans="1:6" x14ac:dyDescent="0.4">
      <c r="A8" s="6" t="s">
        <v>973</v>
      </c>
      <c r="B8" s="6" t="s">
        <v>974</v>
      </c>
      <c r="C8" s="6" t="s">
        <v>975</v>
      </c>
      <c r="D8" s="6" t="s">
        <v>976</v>
      </c>
      <c r="E8" s="6" t="s">
        <v>977</v>
      </c>
    </row>
    <row r="9" spans="1:6" ht="33.6" x14ac:dyDescent="0.4">
      <c r="A9" s="6" t="s">
        <v>978</v>
      </c>
      <c r="B9" s="6" t="s">
        <v>979</v>
      </c>
      <c r="C9" s="6" t="s">
        <v>980</v>
      </c>
      <c r="D9" s="6" t="s">
        <v>981</v>
      </c>
      <c r="E9" s="6" t="s">
        <v>982</v>
      </c>
    </row>
    <row r="10" spans="1:6" x14ac:dyDescent="0.4">
      <c r="A10" s="6" t="s">
        <v>983</v>
      </c>
      <c r="B10" s="6" t="s">
        <v>984</v>
      </c>
      <c r="C10" s="6" t="s">
        <v>985</v>
      </c>
      <c r="D10" s="6" t="s">
        <v>986</v>
      </c>
      <c r="E10" s="6" t="s">
        <v>987</v>
      </c>
    </row>
    <row r="11" spans="1:6" ht="33.6" x14ac:dyDescent="0.4">
      <c r="A11" s="6" t="s">
        <v>988</v>
      </c>
      <c r="B11" s="6" t="s">
        <v>989</v>
      </c>
      <c r="C11" s="6" t="s">
        <v>990</v>
      </c>
      <c r="D11" s="6" t="s">
        <v>991</v>
      </c>
      <c r="E11" s="6" t="s">
        <v>992</v>
      </c>
    </row>
    <row r="13" spans="1:6" x14ac:dyDescent="0.4">
      <c r="A13" s="10" t="s">
        <v>993</v>
      </c>
      <c r="B13" s="11"/>
      <c r="C13" s="11"/>
      <c r="D13" s="11"/>
      <c r="E13" s="11"/>
      <c r="F13" s="11"/>
    </row>
    <row r="14" spans="1:6" x14ac:dyDescent="0.4">
      <c r="A14" s="4" t="s">
        <v>65</v>
      </c>
      <c r="B14" s="4" t="s">
        <v>994</v>
      </c>
      <c r="C14" s="4" t="s">
        <v>995</v>
      </c>
      <c r="D14" s="4" t="s">
        <v>996</v>
      </c>
      <c r="E14" s="4" t="s">
        <v>73</v>
      </c>
    </row>
    <row r="15" spans="1:6" ht="33.6" x14ac:dyDescent="0.4">
      <c r="A15" s="5" t="s">
        <v>997</v>
      </c>
      <c r="B15" s="6" t="s">
        <v>998</v>
      </c>
      <c r="C15" s="6" t="s">
        <v>999</v>
      </c>
      <c r="D15" s="6" t="s">
        <v>1000</v>
      </c>
      <c r="E15" s="6" t="s">
        <v>1001</v>
      </c>
    </row>
    <row r="16" spans="1:6" x14ac:dyDescent="0.4">
      <c r="A16" s="5" t="s">
        <v>1002</v>
      </c>
      <c r="B16" s="6" t="s">
        <v>1003</v>
      </c>
      <c r="C16" s="6" t="s">
        <v>1004</v>
      </c>
      <c r="D16" s="6" t="s">
        <v>1005</v>
      </c>
      <c r="E16" s="6" t="s">
        <v>947</v>
      </c>
    </row>
    <row r="17" spans="1:6" x14ac:dyDescent="0.4">
      <c r="A17" s="5" t="s">
        <v>1006</v>
      </c>
      <c r="B17" s="6" t="s">
        <v>1007</v>
      </c>
      <c r="C17" s="6" t="s">
        <v>1008</v>
      </c>
      <c r="D17" s="6" t="s">
        <v>1009</v>
      </c>
      <c r="E17" s="6" t="s">
        <v>1010</v>
      </c>
    </row>
    <row r="18" spans="1:6" x14ac:dyDescent="0.4">
      <c r="A18" s="5" t="s">
        <v>1011</v>
      </c>
      <c r="B18" s="6" t="s">
        <v>1012</v>
      </c>
      <c r="C18" s="6" t="s">
        <v>1013</v>
      </c>
      <c r="D18" s="6" t="s">
        <v>1014</v>
      </c>
      <c r="E18" s="6" t="s">
        <v>1015</v>
      </c>
    </row>
    <row r="19" spans="1:6" x14ac:dyDescent="0.4">
      <c r="A19" s="5" t="s">
        <v>1016</v>
      </c>
      <c r="B19" s="6" t="s">
        <v>1017</v>
      </c>
      <c r="C19" s="6" t="s">
        <v>78</v>
      </c>
      <c r="D19" s="6" t="s">
        <v>1018</v>
      </c>
      <c r="E19" s="6" t="s">
        <v>1019</v>
      </c>
    </row>
    <row r="20" spans="1:6" ht="33.6" x14ac:dyDescent="0.4">
      <c r="A20" s="5" t="s">
        <v>1020</v>
      </c>
      <c r="B20" s="6" t="s">
        <v>1021</v>
      </c>
      <c r="C20" s="6" t="s">
        <v>78</v>
      </c>
      <c r="D20" s="6" t="s">
        <v>1022</v>
      </c>
      <c r="E20" s="6" t="s">
        <v>1023</v>
      </c>
    </row>
    <row r="21" spans="1:6" x14ac:dyDescent="0.4">
      <c r="A21" s="5" t="s">
        <v>1024</v>
      </c>
      <c r="B21" s="6" t="s">
        <v>1025</v>
      </c>
      <c r="C21" s="6" t="s">
        <v>965</v>
      </c>
      <c r="D21" s="6" t="s">
        <v>1026</v>
      </c>
      <c r="E21" s="6" t="s">
        <v>78</v>
      </c>
    </row>
    <row r="23" spans="1:6" x14ac:dyDescent="0.4">
      <c r="A23" s="10" t="s">
        <v>1027</v>
      </c>
      <c r="B23" s="11"/>
      <c r="C23" s="11"/>
      <c r="D23" s="11"/>
      <c r="E23" s="11"/>
      <c r="F23" s="11"/>
    </row>
    <row r="24" spans="1:6" x14ac:dyDescent="0.4">
      <c r="A24" s="4" t="s">
        <v>65</v>
      </c>
      <c r="B24" s="4" t="s">
        <v>430</v>
      </c>
      <c r="C24" s="4" t="s">
        <v>73</v>
      </c>
      <c r="D24" s="4"/>
      <c r="E24" s="4"/>
    </row>
    <row r="25" spans="1:6" ht="33.6" x14ac:dyDescent="0.4">
      <c r="A25" s="5" t="s">
        <v>1028</v>
      </c>
      <c r="B25" s="6" t="s">
        <v>1029</v>
      </c>
      <c r="C25" s="6" t="s">
        <v>1030</v>
      </c>
      <c r="D25" s="6"/>
      <c r="E25" s="6"/>
    </row>
    <row r="26" spans="1:6" x14ac:dyDescent="0.4">
      <c r="A26" s="5" t="s">
        <v>1031</v>
      </c>
      <c r="B26" s="6" t="s">
        <v>1032</v>
      </c>
      <c r="C26" s="6" t="s">
        <v>1033</v>
      </c>
      <c r="D26" s="6"/>
      <c r="E26" s="6"/>
    </row>
    <row r="27" spans="1:6" x14ac:dyDescent="0.4">
      <c r="A27" s="5" t="s">
        <v>1034</v>
      </c>
      <c r="B27" s="6" t="s">
        <v>1035</v>
      </c>
      <c r="C27" s="6" t="s">
        <v>1036</v>
      </c>
      <c r="D27" s="6"/>
      <c r="E27" s="6"/>
    </row>
    <row r="28" spans="1:6" ht="33.6" x14ac:dyDescent="0.4">
      <c r="A28" s="5" t="s">
        <v>1037</v>
      </c>
      <c r="B28" s="6" t="s">
        <v>1038</v>
      </c>
      <c r="C28" s="6" t="s">
        <v>1020</v>
      </c>
      <c r="D28" s="6"/>
      <c r="E28" s="6"/>
    </row>
    <row r="29" spans="1:6" ht="33.6" x14ac:dyDescent="0.4">
      <c r="A29" s="5" t="s">
        <v>1039</v>
      </c>
      <c r="B29" s="6" t="s">
        <v>1040</v>
      </c>
      <c r="C29" s="6" t="s">
        <v>1041</v>
      </c>
      <c r="D29" s="6"/>
      <c r="E29" s="6"/>
    </row>
    <row r="30" spans="1:6" ht="33.6" x14ac:dyDescent="0.4">
      <c r="A30" s="5" t="s">
        <v>1042</v>
      </c>
      <c r="B30" s="6" t="s">
        <v>1043</v>
      </c>
      <c r="C30" s="6" t="s">
        <v>78</v>
      </c>
      <c r="D30" s="6"/>
      <c r="E30" s="6"/>
    </row>
    <row r="31" spans="1:6" ht="33.6" x14ac:dyDescent="0.4">
      <c r="A31" s="5" t="s">
        <v>1044</v>
      </c>
      <c r="B31" s="6" t="s">
        <v>1045</v>
      </c>
      <c r="C31" s="6" t="s">
        <v>78</v>
      </c>
      <c r="D31" s="6"/>
      <c r="E31" s="6"/>
    </row>
    <row r="32" spans="1:6" ht="33.6" x14ac:dyDescent="0.4">
      <c r="A32" s="5" t="s">
        <v>1046</v>
      </c>
      <c r="B32" s="6" t="s">
        <v>1047</v>
      </c>
      <c r="C32" s="6" t="s">
        <v>1048</v>
      </c>
      <c r="D32" s="6"/>
      <c r="E3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I3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2" sqref="D2"/>
    </sheetView>
  </sheetViews>
  <sheetFormatPr defaultColWidth="8.6640625" defaultRowHeight="17.399999999999999" x14ac:dyDescent="0.4"/>
  <cols>
    <col min="1" max="1" width="7" style="2" customWidth="1"/>
    <col min="2" max="2" width="12" style="2" customWidth="1"/>
    <col min="3" max="3" width="44" style="2" customWidth="1"/>
    <col min="4" max="4" width="40" style="2" customWidth="1"/>
    <col min="5" max="5" width="42" style="2" customWidth="1"/>
    <col min="6" max="6" width="18" style="2" customWidth="1"/>
    <col min="7" max="7" width="9" style="2" customWidth="1"/>
    <col min="8" max="8" width="12" style="2" customWidth="1"/>
    <col min="9" max="9" width="26" style="2" customWidth="1"/>
    <col min="10" max="16384" width="8.6640625" style="2"/>
  </cols>
  <sheetData>
    <row r="1" spans="1:9" ht="22.2" x14ac:dyDescent="0.5">
      <c r="A1" s="1" t="s">
        <v>1049</v>
      </c>
    </row>
    <row r="2" spans="1:9" x14ac:dyDescent="0.4">
      <c r="A2" s="3" t="s">
        <v>1050</v>
      </c>
    </row>
    <row r="4" spans="1:9" x14ac:dyDescent="0.4">
      <c r="A4" s="4" t="s">
        <v>65</v>
      </c>
      <c r="B4" s="4" t="s">
        <v>1051</v>
      </c>
      <c r="C4" s="4" t="s">
        <v>1052</v>
      </c>
      <c r="D4" s="4" t="s">
        <v>963</v>
      </c>
      <c r="E4" s="4" t="s">
        <v>1053</v>
      </c>
      <c r="F4" s="4" t="s">
        <v>1054</v>
      </c>
      <c r="G4" s="4" t="s">
        <v>68</v>
      </c>
      <c r="H4" s="4" t="s">
        <v>1055</v>
      </c>
      <c r="I4" s="4" t="s">
        <v>1056</v>
      </c>
    </row>
    <row r="5" spans="1:9" x14ac:dyDescent="0.4">
      <c r="A5" s="5" t="s">
        <v>1057</v>
      </c>
      <c r="B5" s="6" t="s">
        <v>1058</v>
      </c>
      <c r="C5" s="6" t="s">
        <v>1059</v>
      </c>
      <c r="D5" s="6" t="s">
        <v>1060</v>
      </c>
      <c r="E5" s="6" t="s">
        <v>1061</v>
      </c>
      <c r="F5" s="39">
        <f>'Ví dụ tính tay'!G12</f>
        <v>280000000</v>
      </c>
      <c r="G5" s="5" t="s">
        <v>77</v>
      </c>
      <c r="H5" s="7" t="s">
        <v>1062</v>
      </c>
      <c r="I5" s="7"/>
    </row>
    <row r="6" spans="1:9" x14ac:dyDescent="0.4">
      <c r="A6" s="5" t="s">
        <v>1063</v>
      </c>
      <c r="B6" s="6" t="s">
        <v>656</v>
      </c>
      <c r="C6" s="6" t="s">
        <v>1064</v>
      </c>
      <c r="D6" s="6" t="s">
        <v>269</v>
      </c>
      <c r="E6" s="6" t="s">
        <v>1065</v>
      </c>
      <c r="F6" s="39">
        <f>'Ví dụ tính tay'!G13</f>
        <v>150000000</v>
      </c>
      <c r="G6" s="5" t="s">
        <v>77</v>
      </c>
      <c r="H6" s="7" t="s">
        <v>1062</v>
      </c>
      <c r="I6" s="7"/>
    </row>
    <row r="7" spans="1:9" x14ac:dyDescent="0.4">
      <c r="A7" s="5" t="s">
        <v>1066</v>
      </c>
      <c r="B7" s="6" t="s">
        <v>656</v>
      </c>
      <c r="C7" s="6" t="s">
        <v>1067</v>
      </c>
      <c r="D7" s="6" t="s">
        <v>269</v>
      </c>
      <c r="E7" s="6" t="s">
        <v>1068</v>
      </c>
      <c r="F7" s="39">
        <f>'Ví dụ tính tay'!I13</f>
        <v>10000000</v>
      </c>
      <c r="G7" s="5" t="s">
        <v>77</v>
      </c>
      <c r="H7" s="7" t="s">
        <v>1062</v>
      </c>
      <c r="I7" s="7"/>
    </row>
    <row r="8" spans="1:9" ht="33.6" x14ac:dyDescent="0.4">
      <c r="A8" s="5" t="s">
        <v>1069</v>
      </c>
      <c r="B8" s="6" t="s">
        <v>656</v>
      </c>
      <c r="C8" s="6" t="s">
        <v>1070</v>
      </c>
      <c r="D8" s="6" t="s">
        <v>269</v>
      </c>
      <c r="E8" s="6" t="s">
        <v>1071</v>
      </c>
      <c r="F8" s="39">
        <f>'Ví dụ tính tay'!G15</f>
        <v>160000000</v>
      </c>
      <c r="G8" s="5" t="s">
        <v>77</v>
      </c>
      <c r="H8" s="7" t="s">
        <v>1062</v>
      </c>
      <c r="I8" s="7"/>
    </row>
    <row r="9" spans="1:9" x14ac:dyDescent="0.4">
      <c r="A9" s="5" t="s">
        <v>683</v>
      </c>
      <c r="B9" s="6" t="s">
        <v>1072</v>
      </c>
      <c r="C9" s="6" t="s">
        <v>1073</v>
      </c>
      <c r="D9" s="6" t="s">
        <v>269</v>
      </c>
      <c r="E9" s="6" t="s">
        <v>1074</v>
      </c>
      <c r="F9" s="6" t="s">
        <v>1075</v>
      </c>
      <c r="G9" s="5" t="s">
        <v>77</v>
      </c>
      <c r="H9" s="7" t="s">
        <v>1062</v>
      </c>
      <c r="I9" s="7"/>
    </row>
    <row r="10" spans="1:9" x14ac:dyDescent="0.4">
      <c r="A10" s="5" t="s">
        <v>692</v>
      </c>
      <c r="B10" s="6" t="s">
        <v>1072</v>
      </c>
      <c r="C10" s="6" t="s">
        <v>1076</v>
      </c>
      <c r="D10" s="6" t="s">
        <v>269</v>
      </c>
      <c r="E10" s="6" t="s">
        <v>1077</v>
      </c>
      <c r="F10" s="39">
        <f>SUM('Ví dụ tính tay'!E12:F24)-('Ví dụ tính tay'!G24-'Ví dụ tính tay'!B4)</f>
        <v>0</v>
      </c>
      <c r="G10" s="5" t="s">
        <v>77</v>
      </c>
      <c r="H10" s="7" t="s">
        <v>1062</v>
      </c>
      <c r="I10" s="7"/>
    </row>
    <row r="11" spans="1:9" x14ac:dyDescent="0.4">
      <c r="A11" s="5" t="s">
        <v>686</v>
      </c>
      <c r="B11" s="6" t="s">
        <v>37</v>
      </c>
      <c r="C11" s="6" t="s">
        <v>1078</v>
      </c>
      <c r="D11" s="6" t="s">
        <v>1079</v>
      </c>
      <c r="E11" s="6" t="s">
        <v>1080</v>
      </c>
      <c r="F11" s="6" t="s">
        <v>1075</v>
      </c>
      <c r="G11" s="5" t="s">
        <v>77</v>
      </c>
      <c r="H11" s="7" t="s">
        <v>1062</v>
      </c>
      <c r="I11" s="7"/>
    </row>
    <row r="12" spans="1:9" x14ac:dyDescent="0.4">
      <c r="A12" s="5" t="s">
        <v>1081</v>
      </c>
      <c r="B12" s="6" t="s">
        <v>37</v>
      </c>
      <c r="C12" s="6" t="s">
        <v>1082</v>
      </c>
      <c r="D12" s="6" t="s">
        <v>1083</v>
      </c>
      <c r="E12" s="6" t="s">
        <v>1084</v>
      </c>
      <c r="F12" s="39">
        <f>'Ví dụ tính tay'!C29</f>
        <v>160000000</v>
      </c>
      <c r="G12" s="5" t="s">
        <v>77</v>
      </c>
      <c r="H12" s="7" t="s">
        <v>1062</v>
      </c>
      <c r="I12" s="7"/>
    </row>
    <row r="13" spans="1:9" x14ac:dyDescent="0.4">
      <c r="A13" s="5" t="s">
        <v>689</v>
      </c>
      <c r="B13" s="6" t="s">
        <v>1085</v>
      </c>
      <c r="C13" s="6" t="s">
        <v>1086</v>
      </c>
      <c r="D13" s="6" t="s">
        <v>1087</v>
      </c>
      <c r="E13" s="6" t="s">
        <v>1088</v>
      </c>
      <c r="F13" s="6" t="s">
        <v>1075</v>
      </c>
      <c r="G13" s="5" t="s">
        <v>104</v>
      </c>
      <c r="H13" s="7" t="s">
        <v>1062</v>
      </c>
      <c r="I13" s="7"/>
    </row>
    <row r="14" spans="1:9" ht="33.6" x14ac:dyDescent="0.4">
      <c r="A14" s="5" t="s">
        <v>518</v>
      </c>
      <c r="B14" s="6" t="s">
        <v>1085</v>
      </c>
      <c r="C14" s="6" t="s">
        <v>1089</v>
      </c>
      <c r="D14" s="6" t="s">
        <v>1090</v>
      </c>
      <c r="E14" s="6" t="s">
        <v>1091</v>
      </c>
      <c r="F14" s="6" t="s">
        <v>1075</v>
      </c>
      <c r="G14" s="5" t="s">
        <v>77</v>
      </c>
      <c r="H14" s="7" t="s">
        <v>1062</v>
      </c>
      <c r="I14" s="7"/>
    </row>
    <row r="15" spans="1:9" ht="33.6" x14ac:dyDescent="0.4">
      <c r="A15" s="5" t="s">
        <v>481</v>
      </c>
      <c r="B15" s="6" t="s">
        <v>1092</v>
      </c>
      <c r="C15" s="6" t="s">
        <v>1093</v>
      </c>
      <c r="D15" s="6" t="s">
        <v>1094</v>
      </c>
      <c r="E15" s="6" t="s">
        <v>1095</v>
      </c>
      <c r="F15" s="6" t="s">
        <v>1075</v>
      </c>
      <c r="G15" s="5" t="s">
        <v>77</v>
      </c>
      <c r="H15" s="7" t="s">
        <v>1062</v>
      </c>
      <c r="I15" s="7"/>
    </row>
    <row r="16" spans="1:9" x14ac:dyDescent="0.4">
      <c r="A16" s="5" t="s">
        <v>457</v>
      </c>
      <c r="B16" s="6" t="s">
        <v>1092</v>
      </c>
      <c r="C16" s="6" t="s">
        <v>1096</v>
      </c>
      <c r="D16" s="6" t="s">
        <v>1097</v>
      </c>
      <c r="E16" s="6" t="s">
        <v>1098</v>
      </c>
      <c r="F16" s="6" t="s">
        <v>1075</v>
      </c>
      <c r="G16" s="5" t="s">
        <v>104</v>
      </c>
      <c r="H16" s="7" t="s">
        <v>1062</v>
      </c>
      <c r="I16" s="7"/>
    </row>
    <row r="17" spans="1:9" x14ac:dyDescent="0.4">
      <c r="A17" s="5" t="s">
        <v>470</v>
      </c>
      <c r="B17" s="6" t="s">
        <v>1092</v>
      </c>
      <c r="C17" s="6" t="s">
        <v>1099</v>
      </c>
      <c r="D17" s="6" t="s">
        <v>1100</v>
      </c>
      <c r="E17" s="6" t="s">
        <v>1101</v>
      </c>
      <c r="F17" s="6" t="s">
        <v>1102</v>
      </c>
      <c r="G17" s="5" t="s">
        <v>104</v>
      </c>
      <c r="H17" s="7" t="s">
        <v>1062</v>
      </c>
      <c r="I17" s="7"/>
    </row>
    <row r="18" spans="1:9" ht="33.6" x14ac:dyDescent="0.4">
      <c r="A18" s="5" t="s">
        <v>1103</v>
      </c>
      <c r="B18" s="6" t="s">
        <v>1092</v>
      </c>
      <c r="C18" s="6" t="s">
        <v>1104</v>
      </c>
      <c r="D18" s="6" t="s">
        <v>1105</v>
      </c>
      <c r="E18" s="6" t="s">
        <v>1106</v>
      </c>
      <c r="F18" s="6" t="s">
        <v>1107</v>
      </c>
      <c r="G18" s="5" t="s">
        <v>77</v>
      </c>
      <c r="H18" s="7" t="s">
        <v>1062</v>
      </c>
      <c r="I18" s="7"/>
    </row>
    <row r="19" spans="1:9" x14ac:dyDescent="0.4">
      <c r="A19" s="5" t="s">
        <v>1108</v>
      </c>
      <c r="B19" s="6" t="s">
        <v>1092</v>
      </c>
      <c r="C19" s="6" t="s">
        <v>1109</v>
      </c>
      <c r="D19" s="6" t="s">
        <v>1110</v>
      </c>
      <c r="E19" s="6" t="s">
        <v>1111</v>
      </c>
      <c r="F19" s="6" t="s">
        <v>1112</v>
      </c>
      <c r="G19" s="5" t="s">
        <v>77</v>
      </c>
      <c r="H19" s="7" t="s">
        <v>1062</v>
      </c>
      <c r="I19" s="7"/>
    </row>
    <row r="20" spans="1:9" x14ac:dyDescent="0.4">
      <c r="A20" s="5" t="s">
        <v>493</v>
      </c>
      <c r="B20" s="6" t="s">
        <v>1092</v>
      </c>
      <c r="C20" s="6" t="s">
        <v>1113</v>
      </c>
      <c r="D20" s="6" t="s">
        <v>1114</v>
      </c>
      <c r="E20" s="6" t="s">
        <v>1115</v>
      </c>
      <c r="F20" s="6" t="s">
        <v>1075</v>
      </c>
      <c r="G20" s="5" t="s">
        <v>104</v>
      </c>
      <c r="H20" s="7" t="s">
        <v>1062</v>
      </c>
      <c r="I20" s="7"/>
    </row>
    <row r="21" spans="1:9" x14ac:dyDescent="0.4">
      <c r="A21" s="5" t="s">
        <v>498</v>
      </c>
      <c r="B21" s="6" t="s">
        <v>1092</v>
      </c>
      <c r="C21" s="6" t="s">
        <v>1116</v>
      </c>
      <c r="D21" s="6" t="s">
        <v>1117</v>
      </c>
      <c r="E21" s="6" t="s">
        <v>1118</v>
      </c>
      <c r="F21" s="6" t="s">
        <v>1075</v>
      </c>
      <c r="G21" s="5" t="s">
        <v>104</v>
      </c>
      <c r="H21" s="7" t="s">
        <v>1062</v>
      </c>
      <c r="I21" s="7"/>
    </row>
    <row r="22" spans="1:9" x14ac:dyDescent="0.4">
      <c r="A22" s="5" t="s">
        <v>440</v>
      </c>
      <c r="B22" s="6" t="s">
        <v>1092</v>
      </c>
      <c r="C22" s="6" t="s">
        <v>1119</v>
      </c>
      <c r="D22" s="6" t="s">
        <v>1120</v>
      </c>
      <c r="E22" s="6" t="s">
        <v>1121</v>
      </c>
      <c r="F22" s="6" t="s">
        <v>1075</v>
      </c>
      <c r="G22" s="5" t="s">
        <v>77</v>
      </c>
      <c r="H22" s="7" t="s">
        <v>1062</v>
      </c>
      <c r="I22" s="7"/>
    </row>
    <row r="23" spans="1:9" x14ac:dyDescent="0.4">
      <c r="A23" s="5" t="s">
        <v>509</v>
      </c>
      <c r="B23" s="6" t="s">
        <v>1092</v>
      </c>
      <c r="C23" s="6" t="s">
        <v>506</v>
      </c>
      <c r="D23" s="6" t="s">
        <v>1122</v>
      </c>
      <c r="E23" s="6" t="s">
        <v>1123</v>
      </c>
      <c r="F23" s="6" t="s">
        <v>1075</v>
      </c>
      <c r="G23" s="5" t="s">
        <v>104</v>
      </c>
      <c r="H23" s="7" t="s">
        <v>1062</v>
      </c>
      <c r="I23" s="7"/>
    </row>
    <row r="24" spans="1:9" ht="33.6" x14ac:dyDescent="0.4">
      <c r="A24" s="5" t="s">
        <v>522</v>
      </c>
      <c r="B24" s="6" t="s">
        <v>54</v>
      </c>
      <c r="C24" s="6" t="s">
        <v>1124</v>
      </c>
      <c r="D24" s="6" t="s">
        <v>1125</v>
      </c>
      <c r="E24" s="6" t="s">
        <v>1126</v>
      </c>
      <c r="F24" s="6" t="s">
        <v>1127</v>
      </c>
      <c r="G24" s="5" t="s">
        <v>104</v>
      </c>
      <c r="H24" s="7" t="s">
        <v>1062</v>
      </c>
      <c r="I24" s="7"/>
    </row>
    <row r="25" spans="1:9" x14ac:dyDescent="0.4">
      <c r="A25" s="5" t="s">
        <v>1128</v>
      </c>
      <c r="B25" s="6" t="s">
        <v>54</v>
      </c>
      <c r="C25" s="6" t="s">
        <v>1129</v>
      </c>
      <c r="D25" s="6" t="s">
        <v>1130</v>
      </c>
      <c r="E25" s="6" t="s">
        <v>1131</v>
      </c>
      <c r="F25" s="6" t="s">
        <v>1075</v>
      </c>
      <c r="G25" s="5" t="s">
        <v>104</v>
      </c>
      <c r="H25" s="7" t="s">
        <v>1062</v>
      </c>
      <c r="I25" s="7"/>
    </row>
    <row r="26" spans="1:9" x14ac:dyDescent="0.4">
      <c r="A26" s="5" t="s">
        <v>1132</v>
      </c>
      <c r="B26" s="6" t="s">
        <v>42</v>
      </c>
      <c r="C26" s="6" t="s">
        <v>1133</v>
      </c>
      <c r="D26" s="6" t="s">
        <v>1134</v>
      </c>
      <c r="E26" s="6" t="s">
        <v>1135</v>
      </c>
      <c r="F26" s="6" t="s">
        <v>1075</v>
      </c>
      <c r="G26" s="5" t="s">
        <v>77</v>
      </c>
      <c r="H26" s="7" t="s">
        <v>1062</v>
      </c>
      <c r="I26" s="7"/>
    </row>
    <row r="27" spans="1:9" x14ac:dyDescent="0.4">
      <c r="A27" s="5" t="s">
        <v>1036</v>
      </c>
      <c r="B27" s="6" t="s">
        <v>42</v>
      </c>
      <c r="C27" s="6" t="s">
        <v>1136</v>
      </c>
      <c r="D27" s="6" t="s">
        <v>1137</v>
      </c>
      <c r="E27" s="6" t="s">
        <v>1138</v>
      </c>
      <c r="F27" s="6" t="s">
        <v>1075</v>
      </c>
      <c r="G27" s="5" t="s">
        <v>77</v>
      </c>
      <c r="H27" s="7" t="s">
        <v>1062</v>
      </c>
      <c r="I27" s="7"/>
    </row>
    <row r="28" spans="1:9" x14ac:dyDescent="0.4">
      <c r="A28" s="5" t="s">
        <v>1139</v>
      </c>
      <c r="B28" s="6" t="s">
        <v>42</v>
      </c>
      <c r="C28" s="6" t="s">
        <v>1140</v>
      </c>
      <c r="D28" s="6" t="s">
        <v>1141</v>
      </c>
      <c r="E28" s="6" t="s">
        <v>1142</v>
      </c>
      <c r="F28" s="6" t="s">
        <v>1075</v>
      </c>
      <c r="G28" s="5" t="s">
        <v>104</v>
      </c>
      <c r="H28" s="7" t="s">
        <v>1062</v>
      </c>
      <c r="I28" s="7"/>
    </row>
    <row r="29" spans="1:9" x14ac:dyDescent="0.4">
      <c r="A29" s="5" t="s">
        <v>1143</v>
      </c>
      <c r="B29" s="6" t="s">
        <v>656</v>
      </c>
      <c r="C29" s="6" t="s">
        <v>1144</v>
      </c>
      <c r="D29" s="6" t="s">
        <v>1145</v>
      </c>
      <c r="E29" s="6" t="s">
        <v>1146</v>
      </c>
      <c r="F29" s="6" t="s">
        <v>1075</v>
      </c>
      <c r="G29" s="5" t="s">
        <v>77</v>
      </c>
      <c r="H29" s="7" t="s">
        <v>1062</v>
      </c>
      <c r="I29" s="7"/>
    </row>
    <row r="30" spans="1:9" x14ac:dyDescent="0.4">
      <c r="A30" s="5" t="s">
        <v>527</v>
      </c>
      <c r="B30" s="6" t="s">
        <v>1147</v>
      </c>
      <c r="C30" s="6" t="s">
        <v>1148</v>
      </c>
      <c r="D30" s="6" t="s">
        <v>1149</v>
      </c>
      <c r="E30" s="6" t="s">
        <v>523</v>
      </c>
      <c r="F30" s="6" t="s">
        <v>1075</v>
      </c>
      <c r="G30" s="5" t="s">
        <v>104</v>
      </c>
      <c r="H30" s="7" t="s">
        <v>1062</v>
      </c>
      <c r="I30" s="7"/>
    </row>
  </sheetData>
  <conditionalFormatting sqref="H5:H30">
    <cfRule type="cellIs" dxfId="2" priority="2" operator="equal">
      <formula>"Đạt"</formula>
    </cfRule>
    <cfRule type="cellIs" dxfId="1" priority="3" operator="equal">
      <formula>"Không đạt"</formula>
    </cfRule>
  </conditionalFormatting>
  <dataValidations count="1">
    <dataValidation type="list" allowBlank="1" sqref="H5:H30" xr:uid="{00000000-0002-0000-0C00-000000000000}">
      <formula1>"Chưa chạy,Đạt,Không đạt"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F15"/>
  <sheetViews>
    <sheetView zoomScaleNormal="100" workbookViewId="0">
      <selection activeCell="D16" sqref="D16"/>
    </sheetView>
  </sheetViews>
  <sheetFormatPr defaultColWidth="8.6640625" defaultRowHeight="17.399999999999999" x14ac:dyDescent="0.4"/>
  <cols>
    <col min="1" max="1" width="7" style="2" customWidth="1"/>
    <col min="2" max="2" width="14" style="2" customWidth="1"/>
    <col min="3" max="3" width="42" style="2" customWidth="1"/>
    <col min="4" max="4" width="58" style="2" customWidth="1"/>
    <col min="5" max="5" width="34" style="2" customWidth="1"/>
    <col min="6" max="6" width="22" style="2" customWidth="1"/>
    <col min="7" max="16384" width="8.6640625" style="2"/>
  </cols>
  <sheetData>
    <row r="1" spans="1:6" ht="22.2" x14ac:dyDescent="0.5">
      <c r="A1" s="1" t="s">
        <v>1150</v>
      </c>
    </row>
    <row r="2" spans="1:6" x14ac:dyDescent="0.4">
      <c r="A2" s="3" t="s">
        <v>1151</v>
      </c>
    </row>
    <row r="4" spans="1:6" x14ac:dyDescent="0.4">
      <c r="A4" s="4" t="s">
        <v>65</v>
      </c>
      <c r="B4" s="4" t="s">
        <v>1051</v>
      </c>
      <c r="C4" s="4" t="s">
        <v>1152</v>
      </c>
      <c r="D4" s="4" t="s">
        <v>1153</v>
      </c>
      <c r="E4" s="4" t="s">
        <v>73</v>
      </c>
      <c r="F4" s="4" t="s">
        <v>1154</v>
      </c>
    </row>
    <row r="5" spans="1:6" x14ac:dyDescent="0.4">
      <c r="A5" s="5" t="s">
        <v>1155</v>
      </c>
      <c r="B5" s="6" t="s">
        <v>1147</v>
      </c>
      <c r="C5" s="6" t="s">
        <v>1156</v>
      </c>
      <c r="D5" s="6" t="s">
        <v>1157</v>
      </c>
      <c r="E5" s="6" t="s">
        <v>1158</v>
      </c>
      <c r="F5" s="7"/>
    </row>
    <row r="6" spans="1:6" ht="33.6" x14ac:dyDescent="0.4">
      <c r="A6" s="5" t="s">
        <v>1159</v>
      </c>
      <c r="B6" s="6" t="s">
        <v>1147</v>
      </c>
      <c r="C6" s="6" t="s">
        <v>1160</v>
      </c>
      <c r="D6" s="6" t="s">
        <v>1161</v>
      </c>
      <c r="E6" s="6" t="s">
        <v>1162</v>
      </c>
      <c r="F6" s="7"/>
    </row>
    <row r="7" spans="1:6" x14ac:dyDescent="0.4">
      <c r="A7" s="5" t="s">
        <v>1163</v>
      </c>
      <c r="B7" s="6" t="s">
        <v>1164</v>
      </c>
      <c r="C7" s="6" t="s">
        <v>1165</v>
      </c>
      <c r="D7" s="6" t="s">
        <v>1166</v>
      </c>
      <c r="E7" s="6" t="s">
        <v>1167</v>
      </c>
      <c r="F7" s="7"/>
    </row>
    <row r="8" spans="1:6" x14ac:dyDescent="0.4">
      <c r="A8" s="5" t="s">
        <v>1168</v>
      </c>
      <c r="B8" s="6" t="s">
        <v>1164</v>
      </c>
      <c r="C8" s="6" t="s">
        <v>1169</v>
      </c>
      <c r="D8" s="6" t="s">
        <v>1170</v>
      </c>
      <c r="E8" s="6" t="s">
        <v>78</v>
      </c>
      <c r="F8" s="7"/>
    </row>
    <row r="9" spans="1:6" x14ac:dyDescent="0.4">
      <c r="A9" s="5" t="s">
        <v>1171</v>
      </c>
      <c r="B9" s="6" t="s">
        <v>1164</v>
      </c>
      <c r="C9" s="6" t="s">
        <v>1172</v>
      </c>
      <c r="D9" s="6" t="s">
        <v>1173</v>
      </c>
      <c r="E9" s="6" t="s">
        <v>1174</v>
      </c>
      <c r="F9" s="7"/>
    </row>
    <row r="10" spans="1:6" x14ac:dyDescent="0.4">
      <c r="A10" s="5" t="s">
        <v>1175</v>
      </c>
      <c r="B10" s="6" t="s">
        <v>1164</v>
      </c>
      <c r="C10" s="6" t="s">
        <v>1176</v>
      </c>
      <c r="D10" s="6" t="s">
        <v>1177</v>
      </c>
      <c r="E10" s="6" t="s">
        <v>78</v>
      </c>
      <c r="F10" s="7"/>
    </row>
    <row r="11" spans="1:6" ht="33.6" x14ac:dyDescent="0.4">
      <c r="A11" s="5" t="s">
        <v>1178</v>
      </c>
      <c r="B11" s="6" t="s">
        <v>1179</v>
      </c>
      <c r="C11" s="6" t="s">
        <v>1180</v>
      </c>
      <c r="D11" s="6" t="s">
        <v>1181</v>
      </c>
      <c r="E11" s="6" t="s">
        <v>1182</v>
      </c>
      <c r="F11" s="7"/>
    </row>
    <row r="12" spans="1:6" x14ac:dyDescent="0.4">
      <c r="A12" s="5" t="s">
        <v>1183</v>
      </c>
      <c r="B12" s="6" t="s">
        <v>1184</v>
      </c>
      <c r="C12" s="6" t="s">
        <v>1185</v>
      </c>
      <c r="D12" s="6" t="s">
        <v>696</v>
      </c>
      <c r="E12" s="6" t="s">
        <v>695</v>
      </c>
      <c r="F12" s="7"/>
    </row>
    <row r="13" spans="1:6" x14ac:dyDescent="0.4">
      <c r="A13" s="5" t="s">
        <v>1186</v>
      </c>
      <c r="B13" s="6" t="s">
        <v>1187</v>
      </c>
      <c r="C13" s="6" t="s">
        <v>1188</v>
      </c>
      <c r="D13" s="6" t="s">
        <v>1189</v>
      </c>
      <c r="E13" s="6" t="s">
        <v>78</v>
      </c>
      <c r="F13" s="7"/>
    </row>
    <row r="14" spans="1:6" x14ac:dyDescent="0.4">
      <c r="A14" s="5" t="s">
        <v>1190</v>
      </c>
      <c r="B14" s="6" t="s">
        <v>1191</v>
      </c>
      <c r="C14" s="6" t="s">
        <v>1192</v>
      </c>
      <c r="D14" s="6" t="s">
        <v>1193</v>
      </c>
      <c r="E14" s="6" t="s">
        <v>1194</v>
      </c>
      <c r="F14" s="7"/>
    </row>
    <row r="15" spans="1:6" x14ac:dyDescent="0.4">
      <c r="A15" s="5" t="s">
        <v>1195</v>
      </c>
      <c r="B15" s="6" t="s">
        <v>1196</v>
      </c>
      <c r="C15" s="6" t="s">
        <v>1197</v>
      </c>
      <c r="D15" s="6" t="s">
        <v>1198</v>
      </c>
      <c r="E15" s="6" t="s">
        <v>1199</v>
      </c>
      <c r="F15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</sheetPr>
  <dimension ref="A1:I14"/>
  <sheetViews>
    <sheetView zoomScaleNormal="100" workbookViewId="0">
      <pane xSplit="2" ySplit="1" topLeftCell="E2" activePane="bottomRight" state="frozen"/>
      <selection pane="topRight" activeCell="C1" sqref="C1"/>
      <selection pane="bottomLeft" activeCell="A5" sqref="A5"/>
      <selection pane="bottomRight" activeCell="I2" sqref="I2:I14"/>
    </sheetView>
  </sheetViews>
  <sheetFormatPr defaultColWidth="8.6640625" defaultRowHeight="17.399999999999999" x14ac:dyDescent="0.4"/>
  <cols>
    <col min="1" max="1" width="7" style="2" customWidth="1"/>
    <col min="2" max="2" width="34" style="2" customWidth="1"/>
    <col min="3" max="3" width="60" style="2" customWidth="1"/>
    <col min="4" max="4" width="38" style="2" customWidth="1"/>
    <col min="5" max="5" width="36" style="2" customWidth="1"/>
    <col min="6" max="6" width="14" style="2" customWidth="1"/>
    <col min="7" max="7" width="12" style="2" customWidth="1"/>
    <col min="8" max="8" width="28" style="2" customWidth="1"/>
    <col min="9" max="9" width="14" style="2" customWidth="1"/>
    <col min="10" max="16384" width="8.6640625" style="2"/>
  </cols>
  <sheetData>
    <row r="1" spans="1:9" x14ac:dyDescent="0.4">
      <c r="A1" s="4" t="s">
        <v>65</v>
      </c>
      <c r="B1" s="4" t="s">
        <v>1200</v>
      </c>
      <c r="C1" s="4" t="s">
        <v>1201</v>
      </c>
      <c r="D1" s="4" t="s">
        <v>1153</v>
      </c>
      <c r="E1" s="4" t="s">
        <v>1202</v>
      </c>
      <c r="F1" s="4" t="s">
        <v>1203</v>
      </c>
      <c r="G1" s="4" t="s">
        <v>1204</v>
      </c>
      <c r="H1" s="4" t="s">
        <v>1205</v>
      </c>
      <c r="I1" s="4" t="s">
        <v>72</v>
      </c>
    </row>
    <row r="2" spans="1:9" ht="33.6" x14ac:dyDescent="0.4">
      <c r="A2" s="5" t="s">
        <v>1206</v>
      </c>
      <c r="B2" s="6" t="s">
        <v>1207</v>
      </c>
      <c r="C2" s="6" t="s">
        <v>1208</v>
      </c>
      <c r="D2" s="6" t="s">
        <v>1209</v>
      </c>
      <c r="E2" s="6" t="s">
        <v>1210</v>
      </c>
      <c r="F2" s="7"/>
      <c r="G2" s="7"/>
      <c r="H2" s="7"/>
      <c r="I2" s="7" t="s">
        <v>1211</v>
      </c>
    </row>
    <row r="3" spans="1:9" x14ac:dyDescent="0.4">
      <c r="A3" s="5" t="s">
        <v>1212</v>
      </c>
      <c r="B3" s="6" t="s">
        <v>1213</v>
      </c>
      <c r="C3" s="6" t="s">
        <v>1214</v>
      </c>
      <c r="D3" s="6" t="s">
        <v>1215</v>
      </c>
      <c r="E3" s="6" t="s">
        <v>1216</v>
      </c>
      <c r="F3" s="7"/>
      <c r="G3" s="7"/>
      <c r="H3" s="7"/>
      <c r="I3" s="7" t="s">
        <v>1211</v>
      </c>
    </row>
    <row r="4" spans="1:9" ht="33.6" x14ac:dyDescent="0.4">
      <c r="A4" s="5" t="s">
        <v>1217</v>
      </c>
      <c r="B4" s="6" t="s">
        <v>1218</v>
      </c>
      <c r="C4" s="6" t="s">
        <v>1219</v>
      </c>
      <c r="D4" s="6" t="s">
        <v>1220</v>
      </c>
      <c r="E4" s="6" t="s">
        <v>1221</v>
      </c>
      <c r="F4" s="7"/>
      <c r="G4" s="7"/>
      <c r="H4" s="7"/>
      <c r="I4" s="7" t="s">
        <v>1211</v>
      </c>
    </row>
    <row r="5" spans="1:9" ht="33.6" x14ac:dyDescent="0.4">
      <c r="A5" s="5" t="s">
        <v>643</v>
      </c>
      <c r="B5" s="6" t="s">
        <v>1222</v>
      </c>
      <c r="C5" s="6" t="s">
        <v>1223</v>
      </c>
      <c r="D5" s="6" t="s">
        <v>1209</v>
      </c>
      <c r="E5" s="6" t="s">
        <v>1224</v>
      </c>
      <c r="F5" s="7"/>
      <c r="G5" s="7"/>
      <c r="H5" s="7"/>
      <c r="I5" s="7" t="s">
        <v>1211</v>
      </c>
    </row>
    <row r="6" spans="1:9" x14ac:dyDescent="0.4">
      <c r="A6" s="5" t="s">
        <v>1225</v>
      </c>
      <c r="B6" s="6" t="s">
        <v>1226</v>
      </c>
      <c r="C6" s="6" t="s">
        <v>1227</v>
      </c>
      <c r="D6" s="6" t="s">
        <v>1209</v>
      </c>
      <c r="E6" s="6" t="s">
        <v>1228</v>
      </c>
      <c r="F6" s="7"/>
      <c r="G6" s="7"/>
      <c r="H6" s="7"/>
      <c r="I6" s="7" t="s">
        <v>1211</v>
      </c>
    </row>
    <row r="7" spans="1:9" x14ac:dyDescent="0.4">
      <c r="A7" s="5" t="s">
        <v>1229</v>
      </c>
      <c r="B7" s="6" t="s">
        <v>1230</v>
      </c>
      <c r="C7" s="6" t="s">
        <v>1231</v>
      </c>
      <c r="D7" s="6" t="s">
        <v>1232</v>
      </c>
      <c r="E7" s="6" t="s">
        <v>1233</v>
      </c>
      <c r="F7" s="7"/>
      <c r="G7" s="7"/>
      <c r="H7" s="7"/>
      <c r="I7" s="7" t="s">
        <v>1211</v>
      </c>
    </row>
    <row r="8" spans="1:9" x14ac:dyDescent="0.4">
      <c r="A8" s="5" t="s">
        <v>1234</v>
      </c>
      <c r="B8" s="6" t="s">
        <v>1172</v>
      </c>
      <c r="C8" s="6" t="s">
        <v>1235</v>
      </c>
      <c r="D8" s="6" t="s">
        <v>1236</v>
      </c>
      <c r="E8" s="6" t="s">
        <v>1237</v>
      </c>
      <c r="F8" s="7"/>
      <c r="G8" s="7"/>
      <c r="H8" s="7"/>
      <c r="I8" s="7" t="s">
        <v>1211</v>
      </c>
    </row>
    <row r="9" spans="1:9" ht="33.6" x14ac:dyDescent="0.4">
      <c r="A9" s="5" t="s">
        <v>1238</v>
      </c>
      <c r="B9" s="6" t="s">
        <v>1239</v>
      </c>
      <c r="C9" s="6" t="s">
        <v>1240</v>
      </c>
      <c r="D9" s="6" t="s">
        <v>1241</v>
      </c>
      <c r="E9" s="6" t="s">
        <v>1242</v>
      </c>
      <c r="F9" s="7"/>
      <c r="G9" s="7"/>
      <c r="H9" s="7"/>
      <c r="I9" s="7" t="s">
        <v>1211</v>
      </c>
    </row>
    <row r="10" spans="1:9" x14ac:dyDescent="0.4">
      <c r="A10" s="5" t="s">
        <v>1243</v>
      </c>
      <c r="B10" s="6" t="s">
        <v>1244</v>
      </c>
      <c r="C10" s="6" t="s">
        <v>1245</v>
      </c>
      <c r="D10" s="6" t="s">
        <v>1209</v>
      </c>
      <c r="E10" s="6" t="s">
        <v>1246</v>
      </c>
      <c r="F10" s="7"/>
      <c r="G10" s="7"/>
      <c r="H10" s="7"/>
      <c r="I10" s="7" t="s">
        <v>1211</v>
      </c>
    </row>
    <row r="11" spans="1:9" x14ac:dyDescent="0.4">
      <c r="A11" s="5" t="s">
        <v>1247</v>
      </c>
      <c r="B11" s="6" t="s">
        <v>1248</v>
      </c>
      <c r="C11" s="6" t="s">
        <v>1249</v>
      </c>
      <c r="D11" s="6" t="s">
        <v>1250</v>
      </c>
      <c r="E11" s="6" t="s">
        <v>1251</v>
      </c>
      <c r="F11" s="7"/>
      <c r="G11" s="7"/>
      <c r="H11" s="7"/>
      <c r="I11" s="7" t="s">
        <v>1211</v>
      </c>
    </row>
    <row r="12" spans="1:9" x14ac:dyDescent="0.4">
      <c r="A12" s="5" t="s">
        <v>1252</v>
      </c>
      <c r="B12" s="6" t="s">
        <v>1253</v>
      </c>
      <c r="C12" s="6" t="s">
        <v>1254</v>
      </c>
      <c r="D12" s="6" t="s">
        <v>1255</v>
      </c>
      <c r="E12" s="6" t="s">
        <v>1256</v>
      </c>
      <c r="F12" s="7"/>
      <c r="G12" s="7"/>
      <c r="H12" s="7"/>
      <c r="I12" s="7" t="s">
        <v>1211</v>
      </c>
    </row>
    <row r="13" spans="1:9" x14ac:dyDescent="0.4">
      <c r="A13" s="5" t="s">
        <v>1257</v>
      </c>
      <c r="B13" s="6" t="s">
        <v>1258</v>
      </c>
      <c r="C13" s="6" t="s">
        <v>1259</v>
      </c>
      <c r="D13" s="6" t="s">
        <v>1260</v>
      </c>
      <c r="E13" s="6" t="s">
        <v>1261</v>
      </c>
      <c r="F13" s="7"/>
      <c r="G13" s="7"/>
      <c r="H13" s="7"/>
      <c r="I13" s="7" t="s">
        <v>1211</v>
      </c>
    </row>
    <row r="14" spans="1:9" ht="33.6" x14ac:dyDescent="0.4">
      <c r="A14" s="5" t="s">
        <v>1262</v>
      </c>
      <c r="B14" s="6" t="s">
        <v>1263</v>
      </c>
      <c r="C14" s="6" t="s">
        <v>1264</v>
      </c>
      <c r="D14" s="6" t="s">
        <v>1265</v>
      </c>
      <c r="E14" s="6" t="s">
        <v>1266</v>
      </c>
      <c r="F14" s="7"/>
      <c r="G14" s="7"/>
      <c r="H14" s="7"/>
      <c r="I14" s="7" t="s">
        <v>1211</v>
      </c>
    </row>
  </sheetData>
  <conditionalFormatting sqref="I2:I14">
    <cfRule type="cellIs" dxfId="0" priority="2" operator="equal">
      <formula>"Đã chốt"</formula>
    </cfRule>
  </conditionalFormatting>
  <dataValidations count="1">
    <dataValidation type="list" allowBlank="1" sqref="I2:I14" xr:uid="{00000000-0002-0000-0E00-000000000000}">
      <formula1>"Chưa chốt,Đã chốt,Cần bàn thêm"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F13"/>
  <sheetViews>
    <sheetView zoomScaleNormal="100" workbookViewId="0">
      <selection activeCell="D19" sqref="D19"/>
    </sheetView>
  </sheetViews>
  <sheetFormatPr defaultColWidth="8.6640625" defaultRowHeight="17.399999999999999" x14ac:dyDescent="0.4"/>
  <cols>
    <col min="1" max="1" width="9" style="2" customWidth="1"/>
    <col min="2" max="2" width="24" style="2" customWidth="1"/>
    <col min="3" max="4" width="46" style="2" customWidth="1"/>
    <col min="5" max="5" width="34" style="2" customWidth="1"/>
    <col min="6" max="6" width="12" style="2" customWidth="1"/>
    <col min="7" max="16384" width="8.6640625" style="2"/>
  </cols>
  <sheetData>
    <row r="1" spans="1:6" ht="22.2" x14ac:dyDescent="0.5">
      <c r="A1" s="1" t="s">
        <v>1267</v>
      </c>
    </row>
    <row r="2" spans="1:6" x14ac:dyDescent="0.4">
      <c r="A2" s="3" t="s">
        <v>1268</v>
      </c>
    </row>
    <row r="4" spans="1:6" x14ac:dyDescent="0.4">
      <c r="A4" s="4" t="s">
        <v>191</v>
      </c>
      <c r="B4" s="4" t="s">
        <v>1052</v>
      </c>
      <c r="C4" s="4" t="s">
        <v>1269</v>
      </c>
      <c r="D4" s="4" t="s">
        <v>1270</v>
      </c>
      <c r="E4" s="4" t="s">
        <v>1271</v>
      </c>
      <c r="F4" s="4" t="s">
        <v>72</v>
      </c>
    </row>
    <row r="5" spans="1:6" ht="33.6" x14ac:dyDescent="0.4">
      <c r="A5" s="40">
        <v>46307</v>
      </c>
      <c r="B5" s="6" t="s">
        <v>1272</v>
      </c>
      <c r="C5" s="6" t="s">
        <v>1356</v>
      </c>
      <c r="D5" s="6" t="s">
        <v>1273</v>
      </c>
      <c r="E5" s="6" t="s">
        <v>1357</v>
      </c>
      <c r="F5" s="7" t="s">
        <v>80</v>
      </c>
    </row>
    <row r="6" spans="1:6" ht="33.6" x14ac:dyDescent="0.4">
      <c r="A6" s="40">
        <v>46308</v>
      </c>
      <c r="B6" s="6" t="s">
        <v>1172</v>
      </c>
      <c r="C6" s="6" t="s">
        <v>1274</v>
      </c>
      <c r="D6" s="6" t="s">
        <v>1275</v>
      </c>
      <c r="E6" s="6" t="s">
        <v>1358</v>
      </c>
      <c r="F6" s="7" t="s">
        <v>80</v>
      </c>
    </row>
    <row r="7" spans="1:6" x14ac:dyDescent="0.4">
      <c r="A7" s="40">
        <v>46309</v>
      </c>
      <c r="B7" s="6" t="s">
        <v>1276</v>
      </c>
      <c r="C7" s="6" t="s">
        <v>1359</v>
      </c>
      <c r="D7" s="6" t="s">
        <v>1277</v>
      </c>
      <c r="E7" s="6" t="s">
        <v>1360</v>
      </c>
      <c r="F7" s="7" t="s">
        <v>80</v>
      </c>
    </row>
    <row r="8" spans="1:6" x14ac:dyDescent="0.4">
      <c r="A8" s="40">
        <v>46310</v>
      </c>
      <c r="B8" s="6" t="s">
        <v>879</v>
      </c>
      <c r="C8" s="6" t="s">
        <v>1278</v>
      </c>
      <c r="D8" s="6" t="s">
        <v>1279</v>
      </c>
      <c r="E8" s="6" t="s">
        <v>1361</v>
      </c>
      <c r="F8" s="7" t="s">
        <v>80</v>
      </c>
    </row>
    <row r="9" spans="1:6" x14ac:dyDescent="0.4">
      <c r="A9" s="40">
        <v>46311</v>
      </c>
      <c r="B9" s="6" t="s">
        <v>37</v>
      </c>
      <c r="C9" s="6" t="s">
        <v>1280</v>
      </c>
      <c r="D9" s="6" t="s">
        <v>1281</v>
      </c>
      <c r="E9" s="6" t="s">
        <v>1282</v>
      </c>
      <c r="F9" s="7" t="s">
        <v>80</v>
      </c>
    </row>
    <row r="10" spans="1:6" x14ac:dyDescent="0.4">
      <c r="A10" s="40">
        <v>46312</v>
      </c>
      <c r="B10" s="6" t="s">
        <v>42</v>
      </c>
      <c r="C10" s="6" t="s">
        <v>1283</v>
      </c>
      <c r="D10" s="6" t="s">
        <v>1284</v>
      </c>
      <c r="E10" s="6" t="s">
        <v>1362</v>
      </c>
      <c r="F10" s="7" t="s">
        <v>80</v>
      </c>
    </row>
    <row r="11" spans="1:6" x14ac:dyDescent="0.4">
      <c r="A11" s="40">
        <v>46313</v>
      </c>
      <c r="B11" s="6" t="s">
        <v>1188</v>
      </c>
      <c r="C11" s="6" t="s">
        <v>1285</v>
      </c>
      <c r="D11" s="6" t="s">
        <v>1286</v>
      </c>
      <c r="E11" s="6" t="s">
        <v>1363</v>
      </c>
      <c r="F11" s="7" t="s">
        <v>80</v>
      </c>
    </row>
    <row r="12" spans="1:6" x14ac:dyDescent="0.4">
      <c r="A12" s="40">
        <v>46314</v>
      </c>
      <c r="B12" s="6" t="s">
        <v>1287</v>
      </c>
      <c r="C12" s="6" t="s">
        <v>1288</v>
      </c>
      <c r="D12" s="6" t="s">
        <v>1289</v>
      </c>
      <c r="E12" s="6" t="s">
        <v>1290</v>
      </c>
      <c r="F12" s="7" t="s">
        <v>80</v>
      </c>
    </row>
    <row r="13" spans="1:6" x14ac:dyDescent="0.4">
      <c r="A13" s="40">
        <v>46315</v>
      </c>
      <c r="B13" s="6" t="s">
        <v>1291</v>
      </c>
      <c r="C13" s="6" t="s">
        <v>1292</v>
      </c>
      <c r="D13" s="6" t="s">
        <v>1293</v>
      </c>
      <c r="E13" s="6" t="s">
        <v>1294</v>
      </c>
      <c r="F13" s="7" t="s">
        <v>80</v>
      </c>
    </row>
  </sheetData>
  <dataValidations count="1">
    <dataValidation type="list" allowBlank="1" sqref="F5:F13" xr:uid="{00000000-0002-0000-0F00-000000000000}">
      <formula1>"Chưa làm,Đang làm,Xong,Trễ"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D21"/>
  <sheetViews>
    <sheetView topLeftCell="A11" zoomScaleNormal="100" workbookViewId="0">
      <selection activeCell="D5" sqref="D5"/>
    </sheetView>
  </sheetViews>
  <sheetFormatPr defaultColWidth="8.6640625" defaultRowHeight="17.399999999999999" x14ac:dyDescent="0.4"/>
  <cols>
    <col min="1" max="1" width="28" style="2" customWidth="1"/>
    <col min="2" max="2" width="70" style="2" customWidth="1"/>
    <col min="3" max="3" width="30" style="2" customWidth="1"/>
    <col min="4" max="4" width="14" style="2" customWidth="1"/>
    <col min="5" max="16384" width="8.6640625" style="2"/>
  </cols>
  <sheetData>
    <row r="1" spans="1:4" ht="22.2" x14ac:dyDescent="0.5">
      <c r="A1" s="1" t="s">
        <v>1295</v>
      </c>
    </row>
    <row r="2" spans="1:4" x14ac:dyDescent="0.4">
      <c r="A2" s="3" t="s">
        <v>1296</v>
      </c>
    </row>
    <row r="4" spans="1:4" x14ac:dyDescent="0.4">
      <c r="A4" s="4" t="s">
        <v>932</v>
      </c>
      <c r="B4" s="4" t="s">
        <v>17</v>
      </c>
    </row>
    <row r="5" spans="1:4" ht="33.6" x14ac:dyDescent="0.4">
      <c r="A5" s="6" t="s">
        <v>874</v>
      </c>
      <c r="B5" s="6" t="s">
        <v>1297</v>
      </c>
    </row>
    <row r="6" spans="1:4" ht="33.6" x14ac:dyDescent="0.4">
      <c r="A6" s="6" t="s">
        <v>21</v>
      </c>
      <c r="B6" s="6" t="s">
        <v>1298</v>
      </c>
    </row>
    <row r="7" spans="1:4" ht="50.4" x14ac:dyDescent="0.4">
      <c r="A7" s="6" t="s">
        <v>39</v>
      </c>
      <c r="B7" s="6" t="s">
        <v>1299</v>
      </c>
    </row>
    <row r="8" spans="1:4" ht="33.6" x14ac:dyDescent="0.4">
      <c r="A8" s="6" t="s">
        <v>624</v>
      </c>
      <c r="B8" s="6" t="s">
        <v>1300</v>
      </c>
    </row>
    <row r="9" spans="1:4" ht="33.6" x14ac:dyDescent="0.4">
      <c r="A9" s="6" t="s">
        <v>1301</v>
      </c>
      <c r="B9" s="6" t="s">
        <v>1302</v>
      </c>
    </row>
    <row r="10" spans="1:4" ht="33.6" x14ac:dyDescent="0.4">
      <c r="A10" s="6" t="s">
        <v>1303</v>
      </c>
      <c r="B10" s="6" t="s">
        <v>1304</v>
      </c>
    </row>
    <row r="12" spans="1:4" x14ac:dyDescent="0.4">
      <c r="A12" s="10" t="s">
        <v>1305</v>
      </c>
      <c r="B12" s="11"/>
      <c r="C12" s="11"/>
      <c r="D12" s="11"/>
    </row>
    <row r="13" spans="1:4" x14ac:dyDescent="0.4">
      <c r="A13" s="4" t="s">
        <v>1306</v>
      </c>
      <c r="B13" s="4" t="s">
        <v>1364</v>
      </c>
      <c r="C13" s="4" t="s">
        <v>1365</v>
      </c>
      <c r="D13" s="4" t="s">
        <v>1307</v>
      </c>
    </row>
    <row r="14" spans="1:4" x14ac:dyDescent="0.4">
      <c r="A14" s="6" t="s">
        <v>343</v>
      </c>
      <c r="B14" s="7"/>
      <c r="C14" s="7"/>
      <c r="D14" s="7" t="s">
        <v>1308</v>
      </c>
    </row>
    <row r="15" spans="1:4" x14ac:dyDescent="0.4">
      <c r="A15" s="6" t="s">
        <v>1309</v>
      </c>
      <c r="B15" s="7"/>
      <c r="C15" s="7"/>
      <c r="D15" s="7" t="s">
        <v>1308</v>
      </c>
    </row>
    <row r="16" spans="1:4" x14ac:dyDescent="0.4">
      <c r="A16" s="6" t="s">
        <v>1310</v>
      </c>
      <c r="B16" s="7"/>
      <c r="C16" s="7"/>
      <c r="D16" s="7" t="s">
        <v>1308</v>
      </c>
    </row>
    <row r="17" spans="1:4" x14ac:dyDescent="0.4">
      <c r="A17" s="6" t="s">
        <v>1311</v>
      </c>
      <c r="B17" s="7"/>
      <c r="C17" s="7"/>
      <c r="D17" s="7" t="s">
        <v>1308</v>
      </c>
    </row>
    <row r="18" spans="1:4" x14ac:dyDescent="0.4">
      <c r="A18" s="6" t="s">
        <v>1312</v>
      </c>
      <c r="B18" s="7"/>
      <c r="C18" s="7"/>
      <c r="D18" s="7" t="s">
        <v>1308</v>
      </c>
    </row>
    <row r="19" spans="1:4" x14ac:dyDescent="0.4">
      <c r="A19" s="6" t="s">
        <v>350</v>
      </c>
      <c r="B19" s="7"/>
      <c r="C19" s="7"/>
      <c r="D19" s="7" t="s">
        <v>1308</v>
      </c>
    </row>
    <row r="20" spans="1:4" x14ac:dyDescent="0.4">
      <c r="A20" s="6" t="s">
        <v>355</v>
      </c>
      <c r="B20" s="7"/>
      <c r="C20" s="7"/>
      <c r="D20" s="7" t="s">
        <v>1308</v>
      </c>
    </row>
    <row r="21" spans="1:4" x14ac:dyDescent="0.4">
      <c r="A21" s="6" t="s">
        <v>359</v>
      </c>
      <c r="B21" s="7"/>
      <c r="C21" s="7"/>
      <c r="D21" s="7" t="s">
        <v>1308</v>
      </c>
    </row>
  </sheetData>
  <dataValidations count="1">
    <dataValidation type="list" allowBlank="1" sqref="D14:D21" xr:uid="{00000000-0002-0000-1000-000000000000}">
      <formula1>"Chưa,Đã xác minh"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08080"/>
  </sheetPr>
  <dimension ref="A1:C19"/>
  <sheetViews>
    <sheetView zoomScaleNormal="100" workbookViewId="0">
      <selection activeCell="I6" sqref="I6"/>
    </sheetView>
  </sheetViews>
  <sheetFormatPr defaultColWidth="8.6640625" defaultRowHeight="17.399999999999999" x14ac:dyDescent="0.4"/>
  <cols>
    <col min="1" max="1" width="34" style="2" customWidth="1"/>
    <col min="2" max="2" width="54" style="2" customWidth="1"/>
    <col min="3" max="3" width="44" style="2" customWidth="1"/>
    <col min="4" max="16384" width="8.6640625" style="2"/>
  </cols>
  <sheetData>
    <row r="1" spans="1:3" ht="22.2" x14ac:dyDescent="0.5">
      <c r="A1" s="1" t="s">
        <v>1313</v>
      </c>
    </row>
    <row r="2" spans="1:3" x14ac:dyDescent="0.4">
      <c r="A2" s="3"/>
    </row>
    <row r="4" spans="1:3" x14ac:dyDescent="0.4">
      <c r="A4" s="4" t="s">
        <v>1314</v>
      </c>
      <c r="B4" s="4" t="s">
        <v>1315</v>
      </c>
      <c r="C4" s="4" t="s">
        <v>1316</v>
      </c>
    </row>
    <row r="5" spans="1:3" x14ac:dyDescent="0.4">
      <c r="A5" s="6" t="s">
        <v>544</v>
      </c>
      <c r="B5" s="6" t="s">
        <v>1317</v>
      </c>
      <c r="C5" s="6" t="s">
        <v>1318</v>
      </c>
    </row>
    <row r="6" spans="1:3" x14ac:dyDescent="0.4">
      <c r="A6" s="6" t="s">
        <v>319</v>
      </c>
      <c r="B6" s="6" t="s">
        <v>1319</v>
      </c>
      <c r="C6" s="6" t="s">
        <v>1320</v>
      </c>
    </row>
    <row r="7" spans="1:3" x14ac:dyDescent="0.4">
      <c r="A7" s="6" t="s">
        <v>1321</v>
      </c>
      <c r="B7" s="6" t="s">
        <v>1322</v>
      </c>
      <c r="C7" s="6" t="s">
        <v>1323</v>
      </c>
    </row>
    <row r="8" spans="1:3" x14ac:dyDescent="0.4">
      <c r="A8" s="6" t="s">
        <v>1324</v>
      </c>
      <c r="B8" s="6" t="s">
        <v>1325</v>
      </c>
      <c r="C8" s="6" t="s">
        <v>1326</v>
      </c>
    </row>
    <row r="9" spans="1:3" x14ac:dyDescent="0.4">
      <c r="A9" s="6" t="s">
        <v>1327</v>
      </c>
      <c r="B9" s="6" t="s">
        <v>1328</v>
      </c>
      <c r="C9" s="6" t="s">
        <v>1329</v>
      </c>
    </row>
    <row r="10" spans="1:3" x14ac:dyDescent="0.4">
      <c r="A10" s="6" t="s">
        <v>1330</v>
      </c>
      <c r="B10" s="6" t="s">
        <v>1331</v>
      </c>
      <c r="C10" s="6" t="s">
        <v>1332</v>
      </c>
    </row>
    <row r="11" spans="1:3" x14ac:dyDescent="0.4">
      <c r="A11" s="6" t="s">
        <v>1333</v>
      </c>
      <c r="B11" s="6" t="s">
        <v>1334</v>
      </c>
      <c r="C11" s="6" t="s">
        <v>1335</v>
      </c>
    </row>
    <row r="12" spans="1:3" x14ac:dyDescent="0.4">
      <c r="A12" s="6" t="s">
        <v>582</v>
      </c>
      <c r="B12" s="6" t="s">
        <v>1336</v>
      </c>
      <c r="C12" s="6" t="s">
        <v>1337</v>
      </c>
    </row>
    <row r="13" spans="1:3" x14ac:dyDescent="0.4">
      <c r="A13" s="6" t="s">
        <v>1338</v>
      </c>
      <c r="B13" s="6" t="s">
        <v>1339</v>
      </c>
      <c r="C13" s="6" t="s">
        <v>1340</v>
      </c>
    </row>
    <row r="14" spans="1:3" x14ac:dyDescent="0.4">
      <c r="A14" s="6" t="s">
        <v>1341</v>
      </c>
      <c r="B14" s="6" t="s">
        <v>1342</v>
      </c>
      <c r="C14" s="6" t="s">
        <v>1343</v>
      </c>
    </row>
    <row r="15" spans="1:3" x14ac:dyDescent="0.4">
      <c r="A15" s="6" t="s">
        <v>1344</v>
      </c>
      <c r="B15" s="6" t="s">
        <v>1345</v>
      </c>
      <c r="C15" s="6" t="s">
        <v>1346</v>
      </c>
    </row>
    <row r="16" spans="1:3" x14ac:dyDescent="0.4">
      <c r="A16" s="6" t="s">
        <v>1347</v>
      </c>
      <c r="B16" s="6" t="s">
        <v>1348</v>
      </c>
      <c r="C16" s="6" t="s">
        <v>896</v>
      </c>
    </row>
    <row r="17" spans="1:3" x14ac:dyDescent="0.4">
      <c r="A17" s="6" t="s">
        <v>1349</v>
      </c>
      <c r="B17" s="6" t="s">
        <v>1348</v>
      </c>
      <c r="C17" s="6" t="s">
        <v>1350</v>
      </c>
    </row>
    <row r="18" spans="1:3" x14ac:dyDescent="0.4">
      <c r="A18" s="6" t="s">
        <v>1351</v>
      </c>
      <c r="B18" s="6" t="s">
        <v>1348</v>
      </c>
      <c r="C18" s="6" t="s">
        <v>136</v>
      </c>
    </row>
    <row r="19" spans="1:3" x14ac:dyDescent="0.4">
      <c r="A19" s="6" t="s">
        <v>1352</v>
      </c>
      <c r="B19" s="6" t="s">
        <v>1348</v>
      </c>
      <c r="C19" s="6" t="s">
        <v>1353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Đọc trước</vt:lpstr>
      <vt:lpstr>Phạm vi MVP</vt:lpstr>
      <vt:lpstr>Đầu vào</vt:lpstr>
      <vt:lpstr>Ánh xạ cột</vt:lpstr>
      <vt:lpstr>Quy tắc dữ liệu</vt:lpstr>
      <vt:lpstr>Mô hình dữ liệu</vt:lpstr>
      <vt:lpstr>Logic dự báo</vt:lpstr>
      <vt:lpstr>Tham số</vt:lpstr>
      <vt:lpstr>Ví dụ tính tay</vt:lpstr>
      <vt:lpstr>Kịch bản</vt:lpstr>
      <vt:lpstr>Đầu ra</vt:lpstr>
      <vt:lpstr>AI</vt:lpstr>
      <vt:lpstr>Test case</vt:lpstr>
      <vt:lpstr>Phi chức năng</vt:lpstr>
      <vt:lpstr>Quyết định mở</vt:lpstr>
      <vt:lpstr>Lộ trình</vt:lpstr>
      <vt:lpstr>Preset sàn</vt:lpstr>
      <vt:lpstr>Thuật ngữ &amp; UI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2026-10-12T07:37:05Z</dcterms:created>
  <dcterms:modified xsi:type="dcterms:W3CDTF">2026-10-12T08:05:19Z</dcterms:modified>
  <dc:language>en-US</dc:language>
</cp:coreProperties>
</file>